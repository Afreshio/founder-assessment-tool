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douglasstevens/Cursor/"/>
    </mc:Choice>
  </mc:AlternateContent>
  <xr:revisionPtr revIDLastSave="0" documentId="13_ncr:1_{9D89E850-7CF7-B341-942C-5B7F54A68707}" xr6:coauthVersionLast="47" xr6:coauthVersionMax="47" xr10:uidLastSave="{00000000-0000-0000-0000-000000000000}"/>
  <bookViews>
    <workbookView xWindow="47280" yWindow="500" windowWidth="38400" windowHeight="21100" xr2:uid="{00000000-000D-0000-FFFF-FFFF00000000}"/>
  </bookViews>
  <sheets>
    <sheet name="Mod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0" i="1" l="1"/>
  <c r="L50" i="1"/>
  <c r="K50" i="1"/>
  <c r="I50" i="1"/>
  <c r="G50" i="1"/>
  <c r="C50" i="1"/>
  <c r="Q49" i="1"/>
  <c r="L49" i="1"/>
  <c r="K49" i="1"/>
  <c r="I49" i="1"/>
  <c r="G49" i="1"/>
  <c r="C49" i="1"/>
  <c r="Q48" i="1"/>
  <c r="L48" i="1"/>
  <c r="K48" i="1"/>
  <c r="I48" i="1"/>
  <c r="G48" i="1"/>
  <c r="C48" i="1"/>
  <c r="Q47" i="1"/>
  <c r="L47" i="1"/>
  <c r="K47" i="1"/>
  <c r="I47" i="1"/>
  <c r="G47" i="1"/>
  <c r="C47" i="1"/>
  <c r="Q46" i="1"/>
  <c r="L46" i="1"/>
  <c r="K46" i="1"/>
  <c r="I46" i="1"/>
  <c r="G46" i="1"/>
  <c r="C46" i="1"/>
  <c r="Q45" i="1"/>
  <c r="L45" i="1"/>
  <c r="K45" i="1"/>
  <c r="I45" i="1"/>
  <c r="G45" i="1"/>
  <c r="C45" i="1"/>
  <c r="Q44" i="1"/>
  <c r="L44" i="1"/>
  <c r="K44" i="1"/>
  <c r="I44" i="1"/>
  <c r="G44" i="1"/>
  <c r="C44" i="1"/>
  <c r="Q43" i="1"/>
  <c r="L43" i="1"/>
  <c r="K43" i="1"/>
  <c r="I43" i="1"/>
  <c r="G43" i="1"/>
  <c r="C43" i="1"/>
  <c r="Q42" i="1"/>
  <c r="L42" i="1"/>
  <c r="K42" i="1"/>
  <c r="I42" i="1"/>
  <c r="G42" i="1"/>
  <c r="C42" i="1"/>
  <c r="Q41" i="1"/>
  <c r="L41" i="1"/>
  <c r="K41" i="1"/>
  <c r="I41" i="1"/>
  <c r="G41" i="1"/>
  <c r="C41" i="1"/>
  <c r="Q40" i="1"/>
  <c r="L40" i="1"/>
  <c r="K40" i="1"/>
  <c r="I40" i="1"/>
  <c r="G40" i="1"/>
  <c r="C40" i="1"/>
  <c r="Q39" i="1"/>
  <c r="L39" i="1"/>
  <c r="K39" i="1"/>
  <c r="I39" i="1"/>
  <c r="G39" i="1"/>
  <c r="C39" i="1"/>
  <c r="Q38" i="1"/>
  <c r="L38" i="1"/>
  <c r="K38" i="1"/>
  <c r="I38" i="1"/>
  <c r="G38" i="1"/>
  <c r="C38" i="1"/>
  <c r="Q37" i="1"/>
  <c r="L37" i="1"/>
  <c r="K37" i="1"/>
  <c r="I37" i="1"/>
  <c r="G37" i="1"/>
  <c r="C37" i="1"/>
  <c r="Q36" i="1"/>
  <c r="L36" i="1"/>
  <c r="K36" i="1"/>
  <c r="I36" i="1"/>
  <c r="G36" i="1"/>
  <c r="C36" i="1"/>
  <c r="Q35" i="1"/>
  <c r="L35" i="1"/>
  <c r="K35" i="1"/>
  <c r="I35" i="1"/>
  <c r="G35" i="1"/>
  <c r="C35" i="1"/>
  <c r="Q34" i="1"/>
  <c r="L34" i="1"/>
  <c r="K34" i="1"/>
  <c r="I34" i="1"/>
  <c r="G34" i="1"/>
  <c r="C34" i="1"/>
  <c r="Q33" i="1"/>
  <c r="L33" i="1"/>
  <c r="K33" i="1"/>
  <c r="I33" i="1"/>
  <c r="G33" i="1"/>
  <c r="C33" i="1"/>
  <c r="Q32" i="1"/>
  <c r="L32" i="1"/>
  <c r="K32" i="1"/>
  <c r="I32" i="1"/>
  <c r="G32" i="1"/>
  <c r="C32" i="1"/>
  <c r="Q31" i="1"/>
  <c r="L31" i="1"/>
  <c r="K31" i="1"/>
  <c r="I31" i="1"/>
  <c r="G31" i="1"/>
  <c r="C31" i="1"/>
  <c r="Q30" i="1"/>
  <c r="L30" i="1"/>
  <c r="K30" i="1"/>
  <c r="I30" i="1"/>
  <c r="G30" i="1"/>
  <c r="C30" i="1"/>
  <c r="Q29" i="1"/>
  <c r="L29" i="1"/>
  <c r="K29" i="1"/>
  <c r="I29" i="1"/>
  <c r="G29" i="1"/>
  <c r="C29" i="1"/>
  <c r="Q28" i="1"/>
  <c r="L28" i="1"/>
  <c r="K28" i="1"/>
  <c r="I28" i="1"/>
  <c r="G28" i="1"/>
  <c r="C28" i="1"/>
  <c r="Q27" i="1"/>
  <c r="F10" i="1" s="1"/>
  <c r="L27" i="1"/>
  <c r="K27" i="1"/>
  <c r="I27" i="1"/>
  <c r="G27" i="1"/>
  <c r="F8" i="1" s="1"/>
  <c r="C27" i="1"/>
  <c r="Q26" i="1"/>
  <c r="L26" i="1"/>
  <c r="K26" i="1"/>
  <c r="I26" i="1"/>
  <c r="G26" i="1"/>
  <c r="C26" i="1"/>
  <c r="Q25" i="1"/>
  <c r="L25" i="1"/>
  <c r="K25" i="1"/>
  <c r="I25" i="1"/>
  <c r="G25" i="1"/>
  <c r="C25" i="1"/>
  <c r="Q24" i="1"/>
  <c r="L24" i="1"/>
  <c r="K24" i="1"/>
  <c r="I24" i="1"/>
  <c r="G24" i="1"/>
  <c r="C24" i="1"/>
  <c r="Q23" i="1"/>
  <c r="L23" i="1"/>
  <c r="K23" i="1"/>
  <c r="I23" i="1"/>
  <c r="G23" i="1"/>
  <c r="C23" i="1"/>
  <c r="Q22" i="1"/>
  <c r="L22" i="1"/>
  <c r="K22" i="1"/>
  <c r="I22" i="1"/>
  <c r="G22" i="1"/>
  <c r="C22" i="1"/>
  <c r="Q21" i="1"/>
  <c r="L21" i="1"/>
  <c r="K21" i="1"/>
  <c r="I21" i="1"/>
  <c r="G21" i="1"/>
  <c r="C21" i="1"/>
  <c r="Q20" i="1"/>
  <c r="L20" i="1"/>
  <c r="K20" i="1"/>
  <c r="I20" i="1"/>
  <c r="G20" i="1"/>
  <c r="C20" i="1"/>
  <c r="Q19" i="1"/>
  <c r="L19" i="1"/>
  <c r="K19" i="1"/>
  <c r="I19" i="1"/>
  <c r="G19" i="1"/>
  <c r="C19" i="1"/>
  <c r="Q18" i="1"/>
  <c r="L18" i="1"/>
  <c r="K18" i="1"/>
  <c r="I18" i="1"/>
  <c r="G18" i="1"/>
  <c r="C18" i="1"/>
  <c r="Q17" i="1"/>
  <c r="E10" i="1" s="1"/>
  <c r="L17" i="1"/>
  <c r="K17" i="1"/>
  <c r="I17" i="1"/>
  <c r="G17" i="1"/>
  <c r="C17" i="1"/>
  <c r="Q16" i="1"/>
  <c r="L16" i="1"/>
  <c r="K16" i="1"/>
  <c r="I16" i="1"/>
  <c r="G16" i="1"/>
  <c r="E8" i="1" s="1"/>
  <c r="C16" i="1"/>
  <c r="Q15" i="1"/>
  <c r="L15" i="1"/>
  <c r="K15" i="1"/>
  <c r="I15" i="1"/>
  <c r="G15" i="1"/>
  <c r="C15" i="1"/>
  <c r="D15" i="1" s="1"/>
  <c r="G10" i="1"/>
  <c r="G9" i="1"/>
  <c r="F9" i="1"/>
  <c r="E9" i="1"/>
  <c r="G8" i="1"/>
  <c r="E15" i="1" l="1"/>
  <c r="J15" i="1"/>
  <c r="M15" i="1" s="1"/>
  <c r="N15" i="1" s="1"/>
  <c r="D37" i="1"/>
  <c r="J37" i="1" s="1"/>
  <c r="M37" i="1" s="1"/>
  <c r="N37" i="1" s="1"/>
  <c r="D40" i="1"/>
  <c r="J40" i="1" s="1"/>
  <c r="M40" i="1" s="1"/>
  <c r="N40" i="1" s="1"/>
  <c r="D42" i="1"/>
  <c r="D27" i="1"/>
  <c r="J27" i="1" s="1"/>
  <c r="M27" i="1" s="1"/>
  <c r="N27" i="1" s="1"/>
  <c r="D39" i="1"/>
  <c r="E39" i="1" s="1"/>
  <c r="O39" i="1" s="1"/>
  <c r="D18" i="1"/>
  <c r="D31" i="1"/>
  <c r="J31" i="1" s="1"/>
  <c r="M31" i="1" s="1"/>
  <c r="N31" i="1" s="1"/>
  <c r="D35" i="1"/>
  <c r="J35" i="1" s="1"/>
  <c r="M35" i="1" s="1"/>
  <c r="N35" i="1" s="1"/>
  <c r="D22" i="1"/>
  <c r="J22" i="1" s="1"/>
  <c r="M22" i="1" s="1"/>
  <c r="N22" i="1" s="1"/>
  <c r="D38" i="1"/>
  <c r="D34" i="1"/>
  <c r="D45" i="1"/>
  <c r="J45" i="1" s="1"/>
  <c r="M45" i="1" s="1"/>
  <c r="N45" i="1" s="1"/>
  <c r="D30" i="1"/>
  <c r="D17" i="1"/>
  <c r="J17" i="1" s="1"/>
  <c r="M17" i="1" s="1"/>
  <c r="N17" i="1" s="1"/>
  <c r="D41" i="1"/>
  <c r="J41" i="1" s="1"/>
  <c r="M41" i="1" s="1"/>
  <c r="N41" i="1" s="1"/>
  <c r="D33" i="1"/>
  <c r="D47" i="1"/>
  <c r="J47" i="1" s="1"/>
  <c r="M47" i="1" s="1"/>
  <c r="N47" i="1" s="1"/>
  <c r="D26" i="1"/>
  <c r="J26" i="1" s="1"/>
  <c r="M26" i="1" s="1"/>
  <c r="N26" i="1" s="1"/>
  <c r="D21" i="1"/>
  <c r="J21" i="1" s="1"/>
  <c r="M21" i="1" s="1"/>
  <c r="N21" i="1" s="1"/>
  <c r="D29" i="1"/>
  <c r="D44" i="1"/>
  <c r="E44" i="1" s="1"/>
  <c r="O44" i="1" s="1"/>
  <c r="D16" i="1"/>
  <c r="J16" i="1" s="1"/>
  <c r="M16" i="1" s="1"/>
  <c r="N16" i="1" s="1"/>
  <c r="D20" i="1"/>
  <c r="D24" i="1"/>
  <c r="D28" i="1"/>
  <c r="D50" i="1"/>
  <c r="J50" i="1" s="1"/>
  <c r="M50" i="1" s="1"/>
  <c r="N50" i="1" s="1"/>
  <c r="D49" i="1"/>
  <c r="J49" i="1" s="1"/>
  <c r="M49" i="1" s="1"/>
  <c r="N49" i="1" s="1"/>
  <c r="D32" i="1"/>
  <c r="J32" i="1" s="1"/>
  <c r="M32" i="1" s="1"/>
  <c r="N32" i="1" s="1"/>
  <c r="D36" i="1"/>
  <c r="J36" i="1" s="1"/>
  <c r="M36" i="1" s="1"/>
  <c r="N36" i="1" s="1"/>
  <c r="D25" i="1"/>
  <c r="D19" i="1"/>
  <c r="D23" i="1"/>
  <c r="D43" i="1"/>
  <c r="J43" i="1" s="1"/>
  <c r="M43" i="1" s="1"/>
  <c r="N43" i="1" s="1"/>
  <c r="O15" i="1"/>
  <c r="D46" i="1"/>
  <c r="E21" i="1"/>
  <c r="O21" i="1" s="1"/>
  <c r="E36" i="1"/>
  <c r="O36" i="1" s="1"/>
  <c r="E22" i="1"/>
  <c r="O22" i="1" s="1"/>
  <c r="E37" i="1"/>
  <c r="O37" i="1" s="1"/>
  <c r="D48" i="1"/>
  <c r="E40" i="1" l="1"/>
  <c r="O40" i="1" s="1"/>
  <c r="E43" i="1"/>
  <c r="O43" i="1" s="1"/>
  <c r="E17" i="1"/>
  <c r="O17" i="1" s="1"/>
  <c r="E41" i="1"/>
  <c r="O41" i="1" s="1"/>
  <c r="E50" i="1"/>
  <c r="O50" i="1" s="1"/>
  <c r="E31" i="1"/>
  <c r="O31" i="1" s="1"/>
  <c r="E35" i="1"/>
  <c r="O35" i="1" s="1"/>
  <c r="E32" i="1"/>
  <c r="O32" i="1" s="1"/>
  <c r="J39" i="1"/>
  <c r="M39" i="1" s="1"/>
  <c r="N39" i="1" s="1"/>
  <c r="E26" i="1"/>
  <c r="O26" i="1" s="1"/>
  <c r="E47" i="1"/>
  <c r="O47" i="1" s="1"/>
  <c r="E27" i="1"/>
  <c r="O27" i="1" s="1"/>
  <c r="E34" i="1"/>
  <c r="O34" i="1" s="1"/>
  <c r="J34" i="1"/>
  <c r="M34" i="1" s="1"/>
  <c r="N34" i="1" s="1"/>
  <c r="E29" i="1"/>
  <c r="O29" i="1" s="1"/>
  <c r="J29" i="1"/>
  <c r="M29" i="1" s="1"/>
  <c r="N29" i="1" s="1"/>
  <c r="E38" i="1"/>
  <c r="O38" i="1" s="1"/>
  <c r="J38" i="1"/>
  <c r="M38" i="1" s="1"/>
  <c r="N38" i="1" s="1"/>
  <c r="E49" i="1"/>
  <c r="O49" i="1" s="1"/>
  <c r="E33" i="1"/>
  <c r="O33" i="1" s="1"/>
  <c r="J33" i="1"/>
  <c r="M33" i="1" s="1"/>
  <c r="N33" i="1" s="1"/>
  <c r="E18" i="1"/>
  <c r="O18" i="1" s="1"/>
  <c r="J18" i="1"/>
  <c r="M18" i="1" s="1"/>
  <c r="N18" i="1" s="1"/>
  <c r="E16" i="1"/>
  <c r="J44" i="1"/>
  <c r="M44" i="1" s="1"/>
  <c r="N44" i="1" s="1"/>
  <c r="E28" i="1"/>
  <c r="O28" i="1" s="1"/>
  <c r="J28" i="1"/>
  <c r="M28" i="1" s="1"/>
  <c r="N28" i="1" s="1"/>
  <c r="F12" i="1" s="1"/>
  <c r="E23" i="1"/>
  <c r="O23" i="1" s="1"/>
  <c r="J23" i="1"/>
  <c r="M23" i="1" s="1"/>
  <c r="N23" i="1" s="1"/>
  <c r="E19" i="1"/>
  <c r="O19" i="1" s="1"/>
  <c r="J19" i="1"/>
  <c r="M19" i="1" s="1"/>
  <c r="N19" i="1" s="1"/>
  <c r="E25" i="1"/>
  <c r="O25" i="1" s="1"/>
  <c r="J25" i="1"/>
  <c r="M25" i="1" s="1"/>
  <c r="N25" i="1" s="1"/>
  <c r="E24" i="1"/>
  <c r="O24" i="1" s="1"/>
  <c r="J24" i="1"/>
  <c r="M24" i="1" s="1"/>
  <c r="N24" i="1" s="1"/>
  <c r="E45" i="1"/>
  <c r="O45" i="1" s="1"/>
  <c r="E20" i="1"/>
  <c r="O20" i="1" s="1"/>
  <c r="J20" i="1"/>
  <c r="M20" i="1" s="1"/>
  <c r="N20" i="1" s="1"/>
  <c r="E30" i="1"/>
  <c r="O30" i="1" s="1"/>
  <c r="J30" i="1"/>
  <c r="M30" i="1" s="1"/>
  <c r="N30" i="1" s="1"/>
  <c r="E42" i="1"/>
  <c r="O42" i="1" s="1"/>
  <c r="J42" i="1"/>
  <c r="M42" i="1" s="1"/>
  <c r="N42" i="1" s="1"/>
  <c r="J46" i="1"/>
  <c r="M46" i="1" s="1"/>
  <c r="N46" i="1" s="1"/>
  <c r="E46" i="1"/>
  <c r="O46" i="1" s="1"/>
  <c r="E48" i="1"/>
  <c r="O48" i="1" s="1"/>
  <c r="J48" i="1"/>
  <c r="M48" i="1" s="1"/>
  <c r="N48" i="1" s="1"/>
  <c r="G12" i="1" s="1"/>
  <c r="F7" i="1"/>
  <c r="G7" i="1"/>
  <c r="E12" i="1" l="1"/>
  <c r="F11" i="1"/>
  <c r="G11" i="1"/>
  <c r="O16" i="1"/>
  <c r="E11" i="1" s="1"/>
  <c r="E7" i="1"/>
</calcChain>
</file>

<file path=xl/sharedStrings.xml><?xml version="1.0" encoding="utf-8"?>
<sst xmlns="http://schemas.openxmlformats.org/spreadsheetml/2006/main" count="64" uniqueCount="35">
  <si>
    <t>Inputs</t>
  </si>
  <si>
    <t>Tenure (months)</t>
  </si>
  <si>
    <t>Initial CEOs (Month 1)</t>
  </si>
  <si>
    <t>New CEOs added / month</t>
  </si>
  <si>
    <t>On-Demand price per course</t>
  </si>
  <si>
    <t>CEO Revenue ($)</t>
  </si>
  <si>
    <t>Workshop Revenue ($)</t>
  </si>
  <si>
    <t>Sprint Revenue ($)</t>
  </si>
  <si>
    <t>On-Demand Revenue ($)</t>
  </si>
  <si>
    <t>Total Revenue ($)</t>
  </si>
  <si>
    <t>Days</t>
  </si>
  <si>
    <t>Year</t>
  </si>
  <si>
    <t>Month</t>
  </si>
  <si>
    <t>New_CEOs</t>
  </si>
  <si>
    <t>Active_CEOs</t>
  </si>
  <si>
    <t>Workshops</t>
  </si>
  <si>
    <t>Sprints</t>
  </si>
  <si>
    <t>CEO Hours</t>
  </si>
  <si>
    <t>Workshop Hours</t>
  </si>
  <si>
    <t>Sprint Hours</t>
  </si>
  <si>
    <t>Total Hours</t>
  </si>
  <si>
    <t>Total Days</t>
  </si>
  <si>
    <t>On-Demand Courses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</si>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</sst>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0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 applyAlignment="1">
      <alignment horizontal="center"/>
    </xf>
    <xf numFmtId="0" fontId="3" fillId="0" borderId="0" xfId="0" applyFont="1"/>
    <xf numFmtId="164" fontId="0" fillId="0" borderId="0" xfId="0" applyNumberFormat="1"/>
    <xf numFmtId="165" fontId="0" fillId="0" borderId="0" xfId="0" applyNumberFormat="1"/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tabSelected="1" workbookViewId="0">
      <selection activeCell="F3" sqref="F3"/>
    </sheetView>
  </sheetViews>
  <sheetFormatPr baseColWidth="10" defaultColWidth="8.83203125" defaultRowHeight="15" x14ac:dyDescent="0.2"/>
  <cols>
    <col min="1" max="1" width="8" customWidth="1"/>
    <col min="2" max="2" width="10" customWidth="1"/>
    <col min="3" max="3" width="12" customWidth="1"/>
    <col min="4" max="4" width="14" customWidth="1"/>
    <col min="5" max="5" width="16" customWidth="1"/>
    <col min="6" max="6" width="12" customWidth="1"/>
    <col min="7" max="7" width="18" customWidth="1"/>
    <col min="8" max="8" width="10" customWidth="1"/>
    <col min="9" max="9" width="16" customWidth="1"/>
    <col min="10" max="10" width="12" customWidth="1"/>
    <col min="11" max="11" width="15" customWidth="1"/>
    <col min="12" max="12" width="12" customWidth="1"/>
    <col min="13" max="13" width="13" customWidth="1"/>
    <col min="14" max="14" width="12" customWidth="1"/>
    <col min="15" max="15" width="16" customWidth="1"/>
    <col min="16" max="16" width="18" customWidth="1"/>
    <col min="17" max="17" width="20" customWidth="1"/>
  </cols>
  <sheetData>
    <row r="1" spans="1:17" ht="16" x14ac:dyDescent="0.2">
      <c r="E1" s="1" t="s">
        <v>0</v>
      </c>
    </row>
    <row r="2" spans="1:17" x14ac:dyDescent="0.2">
      <c r="E2" s="2" t="s">
        <v>1</v>
      </c>
      <c r="F2" s="3">
        <v>12</v>
      </c>
    </row>
    <row r="3" spans="1:17" x14ac:dyDescent="0.2">
      <c r="E3" s="2" t="s">
        <v>2</v>
      </c>
      <c r="F3" s="3">
        <v>1</v>
      </c>
    </row>
    <row r="4" spans="1:17" x14ac:dyDescent="0.2">
      <c r="E4" s="2" t="s">
        <v>3</v>
      </c>
      <c r="F4" s="3">
        <v>2</v>
      </c>
    </row>
    <row r="5" spans="1:17" x14ac:dyDescent="0.2">
      <c r="E5" s="2" t="s">
        <v>4</v>
      </c>
      <c r="F5" s="3">
        <v>500</v>
      </c>
    </row>
    <row r="6" spans="1:17" x14ac:dyDescent="0.2">
      <c r="E6" s="4">
        <v>2026</v>
      </c>
      <c r="F6" s="4">
        <v>2027</v>
      </c>
      <c r="G6" s="4">
        <v>2028</v>
      </c>
    </row>
    <row r="7" spans="1:17" x14ac:dyDescent="0.2">
      <c r="D7" s="5" t="s">
        <v>5</v>
      </c>
      <c r="E7" s="6">
        <f>SUMIFS($E$15:$E$50,$A$15:$A$50,2026)</f>
        <v>720000</v>
      </c>
      <c r="F7" s="6">
        <f>SUMIFS($E$15:$E$50,$A$15:$A$50,2027)</f>
        <v>1440000</v>
      </c>
      <c r="G7" s="6">
        <f>SUMIFS($E$15:$E$50,$A$15:$A$50,2028)</f>
        <v>1440000</v>
      </c>
    </row>
    <row r="8" spans="1:17" x14ac:dyDescent="0.2">
      <c r="D8" s="5" t="s">
        <v>6</v>
      </c>
      <c r="E8" s="6">
        <f>SUMIFS($G$15:$G$50,$A$15:$A$50,2026)</f>
        <v>120000</v>
      </c>
      <c r="F8" s="6">
        <f>SUMIFS($G$15:$G$50,$A$15:$A$50,2027)</f>
        <v>120000</v>
      </c>
      <c r="G8" s="6">
        <f>SUMIFS($G$15:$G$50,$A$15:$A$50,2028)</f>
        <v>120000</v>
      </c>
    </row>
    <row r="9" spans="1:17" x14ac:dyDescent="0.2">
      <c r="D9" s="5" t="s">
        <v>7</v>
      </c>
      <c r="E9" s="6">
        <f>SUMIFS($I$15:$I$50,$A$15:$A$50,2026)</f>
        <v>100000</v>
      </c>
      <c r="F9" s="6">
        <f>SUMIFS($I$15:$I$50,$A$15:$A$50,2027)</f>
        <v>100000</v>
      </c>
      <c r="G9" s="6">
        <f>SUMIFS($I$15:$I$50,$A$15:$A$50,2028)</f>
        <v>100000</v>
      </c>
    </row>
    <row r="10" spans="1:17" x14ac:dyDescent="0.2">
      <c r="D10" s="5" t="s">
        <v>8</v>
      </c>
      <c r="E10" s="6">
        <f>SUMIFS($Q$15:$Q$50,$A$15:$A$50,2026)</f>
        <v>0</v>
      </c>
      <c r="F10" s="6">
        <f>SUMIFS($Q$15:$Q$50,$A$15:$A$50,2027)</f>
        <v>0</v>
      </c>
      <c r="G10" s="6">
        <f>SUMIFS($Q$15:$Q$50,$A$15:$A$50,2028)</f>
        <v>0</v>
      </c>
    </row>
    <row r="11" spans="1:17" x14ac:dyDescent="0.2">
      <c r="D11" s="5" t="s">
        <v>9</v>
      </c>
      <c r="E11" s="6">
        <f>SUMIFS($O$15:$O$50,$A$15:$A$50,2026)</f>
        <v>940000</v>
      </c>
      <c r="F11" s="6">
        <f>SUMIFS($O$15:$O$50,$A$15:$A$50,2027)</f>
        <v>1660000</v>
      </c>
      <c r="G11" s="6">
        <f>SUMIFS($O$15:$O$50,$A$15:$A$50,2028)</f>
        <v>1660000</v>
      </c>
    </row>
    <row r="12" spans="1:17" x14ac:dyDescent="0.2">
      <c r="D12" s="5" t="s">
        <v>10</v>
      </c>
      <c r="E12" s="7">
        <f>SUMIFS($N$15:$N$50,$A$15:$A$50,2026)</f>
        <v>70.5</v>
      </c>
      <c r="F12" s="7">
        <f>SUMIFS($N$15:$N$50,$A$15:$A$50,2027)</f>
        <v>124.5</v>
      </c>
      <c r="G12" s="7">
        <f>SUMIFS($N$15:$N$50,$A$15:$A$50,2028)</f>
        <v>124.5</v>
      </c>
    </row>
    <row r="14" spans="1:17" x14ac:dyDescent="0.2">
      <c r="A14" s="8" t="s">
        <v>11</v>
      </c>
      <c r="B14" s="8" t="s">
        <v>12</v>
      </c>
      <c r="C14" s="8" t="s">
        <v>13</v>
      </c>
      <c r="D14" s="8" t="s">
        <v>14</v>
      </c>
      <c r="E14" s="8" t="s">
        <v>5</v>
      </c>
      <c r="F14" s="8" t="s">
        <v>15</v>
      </c>
      <c r="G14" s="8" t="s">
        <v>6</v>
      </c>
      <c r="H14" s="8" t="s">
        <v>16</v>
      </c>
      <c r="I14" s="8" t="s">
        <v>7</v>
      </c>
      <c r="J14" s="8" t="s">
        <v>17</v>
      </c>
      <c r="K14" s="8" t="s">
        <v>18</v>
      </c>
      <c r="L14" s="8" t="s">
        <v>19</v>
      </c>
      <c r="M14" s="8" t="s">
        <v>20</v>
      </c>
      <c r="N14" s="8" t="s">
        <v>21</v>
      </c>
      <c r="O14" s="8" t="s">
        <v>9</v>
      </c>
      <c r="P14" s="8" t="s">
        <v>22</v>
      </c>
      <c r="Q14" s="8" t="s">
        <v>8</v>
      </c>
    </row>
    <row r="15" spans="1:17" x14ac:dyDescent="0.2">
      <c r="A15">
        <v>2026</v>
      </c>
      <c r="B15" t="s">
        <v>23</v>
      </c>
      <c r="C15">
        <f>$F$3</f>
        <v>1</v>
      </c>
      <c r="D15">
        <f>SUMPRODUCT($C$15:C15,--(ROW($C$15:C15)&gt;=ROW(C15)-$F$2+1))</f>
        <v>1</v>
      </c>
      <c r="E15" s="6">
        <f t="shared" ref="E15:E50" si="0">D15*5000</f>
        <v>5000</v>
      </c>
      <c r="F15">
        <v>1</v>
      </c>
      <c r="G15" s="6">
        <f t="shared" ref="G15:G50" si="1">F15*7500</f>
        <v>7500</v>
      </c>
      <c r="H15">
        <v>1</v>
      </c>
      <c r="I15" s="6">
        <f t="shared" ref="I15:I50" si="2">H15*25000</f>
        <v>25000</v>
      </c>
      <c r="J15" s="7">
        <f t="shared" ref="J15:J50" si="3">D15*2*1.5</f>
        <v>3</v>
      </c>
      <c r="K15" s="7">
        <f t="shared" ref="K15:K50" si="4">F15*4</f>
        <v>4</v>
      </c>
      <c r="L15" s="7">
        <f t="shared" ref="L15:L50" si="5">H15*17</f>
        <v>17</v>
      </c>
      <c r="M15" s="7">
        <f t="shared" ref="M15:M50" si="6">J15+K15+L15</f>
        <v>24</v>
      </c>
      <c r="N15" s="7">
        <f t="shared" ref="N15:N50" si="7">M15/8</f>
        <v>3</v>
      </c>
      <c r="O15" s="6">
        <f t="shared" ref="O15:O50" si="8">E15+G15+I15+Q15</f>
        <v>37500</v>
      </c>
      <c r="P15">
        <v>0</v>
      </c>
      <c r="Q15" s="6">
        <f t="shared" ref="Q15:Q50" si="9">P15*$F$5</f>
        <v>0</v>
      </c>
    </row>
    <row r="16" spans="1:17" x14ac:dyDescent="0.2">
      <c r="A16">
        <v>2026</v>
      </c>
      <c r="B16" t="s">
        <v>24</v>
      </c>
      <c r="C16">
        <f t="shared" ref="C16:C50" si="10">$F$4</f>
        <v>2</v>
      </c>
      <c r="D16">
        <f>SUMPRODUCT($C$15:C16,--(ROW($C$15:C16)&gt;=ROW(C16)-$F$2+1))</f>
        <v>3</v>
      </c>
      <c r="E16" s="6">
        <f t="shared" si="0"/>
        <v>15000</v>
      </c>
      <c r="F16">
        <v>1</v>
      </c>
      <c r="G16" s="6">
        <f t="shared" si="1"/>
        <v>7500</v>
      </c>
      <c r="H16">
        <v>0</v>
      </c>
      <c r="I16" s="6">
        <f t="shared" si="2"/>
        <v>0</v>
      </c>
      <c r="J16" s="7">
        <f t="shared" si="3"/>
        <v>9</v>
      </c>
      <c r="K16" s="7">
        <f t="shared" si="4"/>
        <v>4</v>
      </c>
      <c r="L16" s="7">
        <f t="shared" si="5"/>
        <v>0</v>
      </c>
      <c r="M16" s="7">
        <f t="shared" si="6"/>
        <v>13</v>
      </c>
      <c r="N16" s="7">
        <f t="shared" si="7"/>
        <v>1.625</v>
      </c>
      <c r="O16" s="6">
        <f t="shared" si="8"/>
        <v>22500</v>
      </c>
      <c r="P16">
        <v>0</v>
      </c>
      <c r="Q16" s="6">
        <f t="shared" si="9"/>
        <v>0</v>
      </c>
    </row>
    <row r="17" spans="1:17" x14ac:dyDescent="0.2">
      <c r="A17">
        <v>2026</v>
      </c>
      <c r="B17" t="s">
        <v>25</v>
      </c>
      <c r="C17">
        <f t="shared" si="10"/>
        <v>2</v>
      </c>
      <c r="D17">
        <f>SUMPRODUCT($C$15:C17,--(ROW($C$15:C17)&gt;=ROW(C17)-$F$2+1))</f>
        <v>5</v>
      </c>
      <c r="E17" s="6">
        <f t="shared" si="0"/>
        <v>25000</v>
      </c>
      <c r="F17">
        <v>2</v>
      </c>
      <c r="G17" s="6">
        <f t="shared" si="1"/>
        <v>15000</v>
      </c>
      <c r="H17">
        <v>0</v>
      </c>
      <c r="I17" s="6">
        <f t="shared" si="2"/>
        <v>0</v>
      </c>
      <c r="J17" s="7">
        <f t="shared" si="3"/>
        <v>15</v>
      </c>
      <c r="K17" s="7">
        <f t="shared" si="4"/>
        <v>8</v>
      </c>
      <c r="L17" s="7">
        <f t="shared" si="5"/>
        <v>0</v>
      </c>
      <c r="M17" s="7">
        <f t="shared" si="6"/>
        <v>23</v>
      </c>
      <c r="N17" s="7">
        <f t="shared" si="7"/>
        <v>2.875</v>
      </c>
      <c r="O17" s="6">
        <f t="shared" si="8"/>
        <v>40000</v>
      </c>
      <c r="P17">
        <v>0</v>
      </c>
      <c r="Q17" s="6">
        <f t="shared" si="9"/>
        <v>0</v>
      </c>
    </row>
    <row r="18" spans="1:17" x14ac:dyDescent="0.2">
      <c r="A18">
        <v>2026</v>
      </c>
      <c r="B18" t="s">
        <v>26</v>
      </c>
      <c r="C18">
        <f t="shared" si="10"/>
        <v>2</v>
      </c>
      <c r="D18">
        <f>SUMPRODUCT($C$15:C18,--(ROW($C$15:C18)&gt;=ROW(C18)-$F$2+1))</f>
        <v>7</v>
      </c>
      <c r="E18" s="6">
        <f t="shared" si="0"/>
        <v>35000</v>
      </c>
      <c r="F18">
        <v>1</v>
      </c>
      <c r="G18" s="6">
        <f t="shared" si="1"/>
        <v>7500</v>
      </c>
      <c r="H18">
        <v>1</v>
      </c>
      <c r="I18" s="6">
        <f t="shared" si="2"/>
        <v>25000</v>
      </c>
      <c r="J18" s="7">
        <f t="shared" si="3"/>
        <v>21</v>
      </c>
      <c r="K18" s="7">
        <f t="shared" si="4"/>
        <v>4</v>
      </c>
      <c r="L18" s="7">
        <f t="shared" si="5"/>
        <v>17</v>
      </c>
      <c r="M18" s="7">
        <f t="shared" si="6"/>
        <v>42</v>
      </c>
      <c r="N18" s="7">
        <f t="shared" si="7"/>
        <v>5.25</v>
      </c>
      <c r="O18" s="6">
        <f t="shared" si="8"/>
        <v>67500</v>
      </c>
      <c r="P18">
        <v>0</v>
      </c>
      <c r="Q18" s="6">
        <f t="shared" si="9"/>
        <v>0</v>
      </c>
    </row>
    <row r="19" spans="1:17" x14ac:dyDescent="0.2">
      <c r="A19">
        <v>2026</v>
      </c>
      <c r="B19" t="s">
        <v>27</v>
      </c>
      <c r="C19">
        <f t="shared" si="10"/>
        <v>2</v>
      </c>
      <c r="D19">
        <f>SUMPRODUCT($C$15:C19,--(ROW($C$15:C19)&gt;=ROW(C19)-$F$2+1))</f>
        <v>9</v>
      </c>
      <c r="E19" s="6">
        <f t="shared" si="0"/>
        <v>45000</v>
      </c>
      <c r="F19">
        <v>1</v>
      </c>
      <c r="G19" s="6">
        <f t="shared" si="1"/>
        <v>7500</v>
      </c>
      <c r="H19">
        <v>0</v>
      </c>
      <c r="I19" s="6">
        <f t="shared" si="2"/>
        <v>0</v>
      </c>
      <c r="J19" s="7">
        <f t="shared" si="3"/>
        <v>27</v>
      </c>
      <c r="K19" s="7">
        <f t="shared" si="4"/>
        <v>4</v>
      </c>
      <c r="L19" s="7">
        <f t="shared" si="5"/>
        <v>0</v>
      </c>
      <c r="M19" s="7">
        <f t="shared" si="6"/>
        <v>31</v>
      </c>
      <c r="N19" s="7">
        <f t="shared" si="7"/>
        <v>3.875</v>
      </c>
      <c r="O19" s="6">
        <f t="shared" si="8"/>
        <v>52500</v>
      </c>
      <c r="P19">
        <v>0</v>
      </c>
      <c r="Q19" s="6">
        <f t="shared" si="9"/>
        <v>0</v>
      </c>
    </row>
    <row r="20" spans="1:17" x14ac:dyDescent="0.2">
      <c r="A20">
        <v>2026</v>
      </c>
      <c r="B20" t="s">
        <v>28</v>
      </c>
      <c r="C20">
        <f t="shared" si="10"/>
        <v>2</v>
      </c>
      <c r="D20">
        <f>SUMPRODUCT($C$15:C20,--(ROW($C$15:C20)&gt;=ROW(C20)-$F$2+1))</f>
        <v>11</v>
      </c>
      <c r="E20" s="6">
        <f t="shared" si="0"/>
        <v>55000</v>
      </c>
      <c r="F20">
        <v>2</v>
      </c>
      <c r="G20" s="6">
        <f t="shared" si="1"/>
        <v>15000</v>
      </c>
      <c r="H20">
        <v>0</v>
      </c>
      <c r="I20" s="6">
        <f t="shared" si="2"/>
        <v>0</v>
      </c>
      <c r="J20" s="7">
        <f t="shared" si="3"/>
        <v>33</v>
      </c>
      <c r="K20" s="7">
        <f t="shared" si="4"/>
        <v>8</v>
      </c>
      <c r="L20" s="7">
        <f t="shared" si="5"/>
        <v>0</v>
      </c>
      <c r="M20" s="7">
        <f t="shared" si="6"/>
        <v>41</v>
      </c>
      <c r="N20" s="7">
        <f t="shared" si="7"/>
        <v>5.125</v>
      </c>
      <c r="O20" s="6">
        <f t="shared" si="8"/>
        <v>70000</v>
      </c>
      <c r="P20">
        <v>0</v>
      </c>
      <c r="Q20" s="6">
        <f t="shared" si="9"/>
        <v>0</v>
      </c>
    </row>
    <row r="21" spans="1:17" x14ac:dyDescent="0.2">
      <c r="A21">
        <v>2026</v>
      </c>
      <c r="B21" t="s">
        <v>29</v>
      </c>
      <c r="C21">
        <f t="shared" si="10"/>
        <v>2</v>
      </c>
      <c r="D21">
        <f>SUMPRODUCT($C$15:C21,--(ROW($C$15:C21)&gt;=ROW(C21)-$F$2+1))</f>
        <v>13</v>
      </c>
      <c r="E21" s="6">
        <f t="shared" si="0"/>
        <v>65000</v>
      </c>
      <c r="F21">
        <v>1</v>
      </c>
      <c r="G21" s="6">
        <f t="shared" si="1"/>
        <v>7500</v>
      </c>
      <c r="H21">
        <v>1</v>
      </c>
      <c r="I21" s="6">
        <f t="shared" si="2"/>
        <v>25000</v>
      </c>
      <c r="J21" s="7">
        <f t="shared" si="3"/>
        <v>39</v>
      </c>
      <c r="K21" s="7">
        <f t="shared" si="4"/>
        <v>4</v>
      </c>
      <c r="L21" s="7">
        <f t="shared" si="5"/>
        <v>17</v>
      </c>
      <c r="M21" s="7">
        <f t="shared" si="6"/>
        <v>60</v>
      </c>
      <c r="N21" s="7">
        <f t="shared" si="7"/>
        <v>7.5</v>
      </c>
      <c r="O21" s="6">
        <f t="shared" si="8"/>
        <v>97500</v>
      </c>
      <c r="P21">
        <v>0</v>
      </c>
      <c r="Q21" s="6">
        <f t="shared" si="9"/>
        <v>0</v>
      </c>
    </row>
    <row r="22" spans="1:17" x14ac:dyDescent="0.2">
      <c r="A22">
        <v>2026</v>
      </c>
      <c r="B22" t="s">
        <v>30</v>
      </c>
      <c r="C22">
        <f t="shared" si="10"/>
        <v>2</v>
      </c>
      <c r="D22">
        <f>SUMPRODUCT($C$15:C22,--(ROW($C$15:C22)&gt;=ROW(C22)-$F$2+1))</f>
        <v>15</v>
      </c>
      <c r="E22" s="6">
        <f t="shared" si="0"/>
        <v>75000</v>
      </c>
      <c r="F22">
        <v>1</v>
      </c>
      <c r="G22" s="6">
        <f t="shared" si="1"/>
        <v>7500</v>
      </c>
      <c r="H22">
        <v>0</v>
      </c>
      <c r="I22" s="6">
        <f t="shared" si="2"/>
        <v>0</v>
      </c>
      <c r="J22" s="7">
        <f t="shared" si="3"/>
        <v>45</v>
      </c>
      <c r="K22" s="7">
        <f t="shared" si="4"/>
        <v>4</v>
      </c>
      <c r="L22" s="7">
        <f t="shared" si="5"/>
        <v>0</v>
      </c>
      <c r="M22" s="7">
        <f t="shared" si="6"/>
        <v>49</v>
      </c>
      <c r="N22" s="7">
        <f t="shared" si="7"/>
        <v>6.125</v>
      </c>
      <c r="O22" s="6">
        <f t="shared" si="8"/>
        <v>82500</v>
      </c>
      <c r="P22">
        <v>0</v>
      </c>
      <c r="Q22" s="6">
        <f t="shared" si="9"/>
        <v>0</v>
      </c>
    </row>
    <row r="23" spans="1:17" x14ac:dyDescent="0.2">
      <c r="A23">
        <v>2026</v>
      </c>
      <c r="B23" t="s">
        <v>31</v>
      </c>
      <c r="C23">
        <f t="shared" si="10"/>
        <v>2</v>
      </c>
      <c r="D23">
        <f>SUMPRODUCT($C$15:C23,--(ROW($C$15:C23)&gt;=ROW(C23)-$F$2+1))</f>
        <v>17</v>
      </c>
      <c r="E23" s="6">
        <f t="shared" si="0"/>
        <v>85000</v>
      </c>
      <c r="F23">
        <v>2</v>
      </c>
      <c r="G23" s="6">
        <f t="shared" si="1"/>
        <v>15000</v>
      </c>
      <c r="H23">
        <v>0</v>
      </c>
      <c r="I23" s="6">
        <f t="shared" si="2"/>
        <v>0</v>
      </c>
      <c r="J23" s="7">
        <f t="shared" si="3"/>
        <v>51</v>
      </c>
      <c r="K23" s="7">
        <f t="shared" si="4"/>
        <v>8</v>
      </c>
      <c r="L23" s="7">
        <f t="shared" si="5"/>
        <v>0</v>
      </c>
      <c r="M23" s="7">
        <f t="shared" si="6"/>
        <v>59</v>
      </c>
      <c r="N23" s="7">
        <f t="shared" si="7"/>
        <v>7.375</v>
      </c>
      <c r="O23" s="6">
        <f t="shared" si="8"/>
        <v>100000</v>
      </c>
      <c r="P23">
        <v>0</v>
      </c>
      <c r="Q23" s="6">
        <f t="shared" si="9"/>
        <v>0</v>
      </c>
    </row>
    <row r="24" spans="1:17" x14ac:dyDescent="0.2">
      <c r="A24">
        <v>2026</v>
      </c>
      <c r="B24" t="s">
        <v>32</v>
      </c>
      <c r="C24">
        <f t="shared" si="10"/>
        <v>2</v>
      </c>
      <c r="D24">
        <f>SUMPRODUCT($C$15:C24,--(ROW($C$15:C24)&gt;=ROW(C24)-$F$2+1))</f>
        <v>19</v>
      </c>
      <c r="E24" s="6">
        <f t="shared" si="0"/>
        <v>95000</v>
      </c>
      <c r="F24">
        <v>1</v>
      </c>
      <c r="G24" s="6">
        <f t="shared" si="1"/>
        <v>7500</v>
      </c>
      <c r="H24">
        <v>1</v>
      </c>
      <c r="I24" s="6">
        <f t="shared" si="2"/>
        <v>25000</v>
      </c>
      <c r="J24" s="7">
        <f t="shared" si="3"/>
        <v>57</v>
      </c>
      <c r="K24" s="7">
        <f t="shared" si="4"/>
        <v>4</v>
      </c>
      <c r="L24" s="7">
        <f t="shared" si="5"/>
        <v>17</v>
      </c>
      <c r="M24" s="7">
        <f t="shared" si="6"/>
        <v>78</v>
      </c>
      <c r="N24" s="7">
        <f t="shared" si="7"/>
        <v>9.75</v>
      </c>
      <c r="O24" s="6">
        <f t="shared" si="8"/>
        <v>127500</v>
      </c>
      <c r="P24">
        <v>0</v>
      </c>
      <c r="Q24" s="6">
        <f t="shared" si="9"/>
        <v>0</v>
      </c>
    </row>
    <row r="25" spans="1:17" x14ac:dyDescent="0.2">
      <c r="A25">
        <v>2026</v>
      </c>
      <c r="B25" t="s">
        <v>33</v>
      </c>
      <c r="C25">
        <f t="shared" si="10"/>
        <v>2</v>
      </c>
      <c r="D25">
        <f>SUMPRODUCT($C$15:C25,--(ROW($C$15:C25)&gt;=ROW(C25)-$F$2+1))</f>
        <v>21</v>
      </c>
      <c r="E25" s="6">
        <f t="shared" si="0"/>
        <v>105000</v>
      </c>
      <c r="F25">
        <v>1</v>
      </c>
      <c r="G25" s="6">
        <f t="shared" si="1"/>
        <v>7500</v>
      </c>
      <c r="H25">
        <v>0</v>
      </c>
      <c r="I25" s="6">
        <f t="shared" si="2"/>
        <v>0</v>
      </c>
      <c r="J25" s="7">
        <f t="shared" si="3"/>
        <v>63</v>
      </c>
      <c r="K25" s="7">
        <f t="shared" si="4"/>
        <v>4</v>
      </c>
      <c r="L25" s="7">
        <f t="shared" si="5"/>
        <v>0</v>
      </c>
      <c r="M25" s="7">
        <f t="shared" si="6"/>
        <v>67</v>
      </c>
      <c r="N25" s="7">
        <f t="shared" si="7"/>
        <v>8.375</v>
      </c>
      <c r="O25" s="6">
        <f t="shared" si="8"/>
        <v>112500</v>
      </c>
      <c r="P25">
        <v>0</v>
      </c>
      <c r="Q25" s="6">
        <f t="shared" si="9"/>
        <v>0</v>
      </c>
    </row>
    <row r="26" spans="1:17" x14ac:dyDescent="0.2">
      <c r="A26">
        <v>2026</v>
      </c>
      <c r="B26" t="s">
        <v>34</v>
      </c>
      <c r="C26">
        <f t="shared" si="10"/>
        <v>2</v>
      </c>
      <c r="D26">
        <f>SUMPRODUCT($C$15:C26,--(ROW($C$15:C26)&gt;=ROW(C26)-$F$2+1))</f>
        <v>23</v>
      </c>
      <c r="E26" s="6">
        <f t="shared" si="0"/>
        <v>115000</v>
      </c>
      <c r="F26">
        <v>2</v>
      </c>
      <c r="G26" s="6">
        <f t="shared" si="1"/>
        <v>15000</v>
      </c>
      <c r="H26">
        <v>0</v>
      </c>
      <c r="I26" s="6">
        <f t="shared" si="2"/>
        <v>0</v>
      </c>
      <c r="J26" s="7">
        <f t="shared" si="3"/>
        <v>69</v>
      </c>
      <c r="K26" s="7">
        <f t="shared" si="4"/>
        <v>8</v>
      </c>
      <c r="L26" s="7">
        <f t="shared" si="5"/>
        <v>0</v>
      </c>
      <c r="M26" s="7">
        <f t="shared" si="6"/>
        <v>77</v>
      </c>
      <c r="N26" s="7">
        <f t="shared" si="7"/>
        <v>9.625</v>
      </c>
      <c r="O26" s="6">
        <f t="shared" si="8"/>
        <v>130000</v>
      </c>
      <c r="P26">
        <v>0</v>
      </c>
      <c r="Q26" s="6">
        <f t="shared" si="9"/>
        <v>0</v>
      </c>
    </row>
    <row r="27" spans="1:17" x14ac:dyDescent="0.2">
      <c r="A27">
        <v>2027</v>
      </c>
      <c r="B27" t="s">
        <v>23</v>
      </c>
      <c r="C27">
        <f t="shared" si="10"/>
        <v>2</v>
      </c>
      <c r="D27">
        <f>SUMPRODUCT($C$15:C27,--(ROW($C$15:C27)&gt;=ROW(C27)-$F$2+1))</f>
        <v>24</v>
      </c>
      <c r="E27" s="6">
        <f t="shared" si="0"/>
        <v>120000</v>
      </c>
      <c r="F27">
        <v>1</v>
      </c>
      <c r="G27" s="6">
        <f t="shared" si="1"/>
        <v>7500</v>
      </c>
      <c r="H27">
        <v>1</v>
      </c>
      <c r="I27" s="6">
        <f t="shared" si="2"/>
        <v>25000</v>
      </c>
      <c r="J27" s="7">
        <f t="shared" si="3"/>
        <v>72</v>
      </c>
      <c r="K27" s="7">
        <f t="shared" si="4"/>
        <v>4</v>
      </c>
      <c r="L27" s="7">
        <f t="shared" si="5"/>
        <v>17</v>
      </c>
      <c r="M27" s="7">
        <f t="shared" si="6"/>
        <v>93</v>
      </c>
      <c r="N27" s="7">
        <f t="shared" si="7"/>
        <v>11.625</v>
      </c>
      <c r="O27" s="6">
        <f t="shared" si="8"/>
        <v>152500</v>
      </c>
      <c r="P27">
        <v>0</v>
      </c>
      <c r="Q27" s="6">
        <f t="shared" si="9"/>
        <v>0</v>
      </c>
    </row>
    <row r="28" spans="1:17" x14ac:dyDescent="0.2">
      <c r="A28">
        <v>2027</v>
      </c>
      <c r="B28" t="s">
        <v>24</v>
      </c>
      <c r="C28">
        <f t="shared" si="10"/>
        <v>2</v>
      </c>
      <c r="D28">
        <f>SUMPRODUCT($C$15:C28,--(ROW($C$15:C28)&gt;=ROW(C28)-$F$2+1))</f>
        <v>24</v>
      </c>
      <c r="E28" s="6">
        <f t="shared" si="0"/>
        <v>120000</v>
      </c>
      <c r="F28">
        <v>1</v>
      </c>
      <c r="G28" s="6">
        <f t="shared" si="1"/>
        <v>7500</v>
      </c>
      <c r="H28">
        <v>0</v>
      </c>
      <c r="I28" s="6">
        <f t="shared" si="2"/>
        <v>0</v>
      </c>
      <c r="J28" s="7">
        <f t="shared" si="3"/>
        <v>72</v>
      </c>
      <c r="K28" s="7">
        <f t="shared" si="4"/>
        <v>4</v>
      </c>
      <c r="L28" s="7">
        <f t="shared" si="5"/>
        <v>0</v>
      </c>
      <c r="M28" s="7">
        <f t="shared" si="6"/>
        <v>76</v>
      </c>
      <c r="N28" s="7">
        <f t="shared" si="7"/>
        <v>9.5</v>
      </c>
      <c r="O28" s="6">
        <f t="shared" si="8"/>
        <v>127500</v>
      </c>
      <c r="P28">
        <v>0</v>
      </c>
      <c r="Q28" s="6">
        <f t="shared" si="9"/>
        <v>0</v>
      </c>
    </row>
    <row r="29" spans="1:17" x14ac:dyDescent="0.2">
      <c r="A29">
        <v>2027</v>
      </c>
      <c r="B29" t="s">
        <v>25</v>
      </c>
      <c r="C29">
        <f t="shared" si="10"/>
        <v>2</v>
      </c>
      <c r="D29">
        <f>SUMPRODUCT($C$15:C29,--(ROW($C$15:C29)&gt;=ROW(C29)-$F$2+1))</f>
        <v>24</v>
      </c>
      <c r="E29" s="6">
        <f t="shared" si="0"/>
        <v>120000</v>
      </c>
      <c r="F29">
        <v>2</v>
      </c>
      <c r="G29" s="6">
        <f t="shared" si="1"/>
        <v>15000</v>
      </c>
      <c r="H29">
        <v>0</v>
      </c>
      <c r="I29" s="6">
        <f t="shared" si="2"/>
        <v>0</v>
      </c>
      <c r="J29" s="7">
        <f t="shared" si="3"/>
        <v>72</v>
      </c>
      <c r="K29" s="7">
        <f t="shared" si="4"/>
        <v>8</v>
      </c>
      <c r="L29" s="7">
        <f t="shared" si="5"/>
        <v>0</v>
      </c>
      <c r="M29" s="7">
        <f t="shared" si="6"/>
        <v>80</v>
      </c>
      <c r="N29" s="7">
        <f t="shared" si="7"/>
        <v>10</v>
      </c>
      <c r="O29" s="6">
        <f t="shared" si="8"/>
        <v>135000</v>
      </c>
      <c r="P29">
        <v>0</v>
      </c>
      <c r="Q29" s="6">
        <f t="shared" si="9"/>
        <v>0</v>
      </c>
    </row>
    <row r="30" spans="1:17" x14ac:dyDescent="0.2">
      <c r="A30">
        <v>2027</v>
      </c>
      <c r="B30" t="s">
        <v>26</v>
      </c>
      <c r="C30">
        <f t="shared" si="10"/>
        <v>2</v>
      </c>
      <c r="D30">
        <f>SUMPRODUCT($C$15:C30,--(ROW($C$15:C30)&gt;=ROW(C30)-$F$2+1))</f>
        <v>24</v>
      </c>
      <c r="E30" s="6">
        <f t="shared" si="0"/>
        <v>120000</v>
      </c>
      <c r="F30">
        <v>1</v>
      </c>
      <c r="G30" s="6">
        <f t="shared" si="1"/>
        <v>7500</v>
      </c>
      <c r="H30">
        <v>1</v>
      </c>
      <c r="I30" s="6">
        <f t="shared" si="2"/>
        <v>25000</v>
      </c>
      <c r="J30" s="7">
        <f t="shared" si="3"/>
        <v>72</v>
      </c>
      <c r="K30" s="7">
        <f t="shared" si="4"/>
        <v>4</v>
      </c>
      <c r="L30" s="7">
        <f t="shared" si="5"/>
        <v>17</v>
      </c>
      <c r="M30" s="7">
        <f t="shared" si="6"/>
        <v>93</v>
      </c>
      <c r="N30" s="7">
        <f t="shared" si="7"/>
        <v>11.625</v>
      </c>
      <c r="O30" s="6">
        <f t="shared" si="8"/>
        <v>152500</v>
      </c>
      <c r="P30">
        <v>0</v>
      </c>
      <c r="Q30" s="6">
        <f t="shared" si="9"/>
        <v>0</v>
      </c>
    </row>
    <row r="31" spans="1:17" x14ac:dyDescent="0.2">
      <c r="A31">
        <v>2027</v>
      </c>
      <c r="B31" t="s">
        <v>27</v>
      </c>
      <c r="C31">
        <f t="shared" si="10"/>
        <v>2</v>
      </c>
      <c r="D31">
        <f>SUMPRODUCT($C$15:C31,--(ROW($C$15:C31)&gt;=ROW(C31)-$F$2+1))</f>
        <v>24</v>
      </c>
      <c r="E31" s="6">
        <f t="shared" si="0"/>
        <v>120000</v>
      </c>
      <c r="F31">
        <v>1</v>
      </c>
      <c r="G31" s="6">
        <f t="shared" si="1"/>
        <v>7500</v>
      </c>
      <c r="H31">
        <v>0</v>
      </c>
      <c r="I31" s="6">
        <f t="shared" si="2"/>
        <v>0</v>
      </c>
      <c r="J31" s="7">
        <f t="shared" si="3"/>
        <v>72</v>
      </c>
      <c r="K31" s="7">
        <f t="shared" si="4"/>
        <v>4</v>
      </c>
      <c r="L31" s="7">
        <f t="shared" si="5"/>
        <v>0</v>
      </c>
      <c r="M31" s="7">
        <f t="shared" si="6"/>
        <v>76</v>
      </c>
      <c r="N31" s="7">
        <f t="shared" si="7"/>
        <v>9.5</v>
      </c>
      <c r="O31" s="6">
        <f t="shared" si="8"/>
        <v>127500</v>
      </c>
      <c r="P31">
        <v>0</v>
      </c>
      <c r="Q31" s="6">
        <f t="shared" si="9"/>
        <v>0</v>
      </c>
    </row>
    <row r="32" spans="1:17" x14ac:dyDescent="0.2">
      <c r="A32">
        <v>2027</v>
      </c>
      <c r="B32" t="s">
        <v>28</v>
      </c>
      <c r="C32">
        <f t="shared" si="10"/>
        <v>2</v>
      </c>
      <c r="D32">
        <f>SUMPRODUCT($C$15:C32,--(ROW($C$15:C32)&gt;=ROW(C32)-$F$2+1))</f>
        <v>24</v>
      </c>
      <c r="E32" s="6">
        <f t="shared" si="0"/>
        <v>120000</v>
      </c>
      <c r="F32">
        <v>2</v>
      </c>
      <c r="G32" s="6">
        <f t="shared" si="1"/>
        <v>15000</v>
      </c>
      <c r="H32">
        <v>0</v>
      </c>
      <c r="I32" s="6">
        <f t="shared" si="2"/>
        <v>0</v>
      </c>
      <c r="J32" s="7">
        <f t="shared" si="3"/>
        <v>72</v>
      </c>
      <c r="K32" s="7">
        <f t="shared" si="4"/>
        <v>8</v>
      </c>
      <c r="L32" s="7">
        <f t="shared" si="5"/>
        <v>0</v>
      </c>
      <c r="M32" s="7">
        <f t="shared" si="6"/>
        <v>80</v>
      </c>
      <c r="N32" s="7">
        <f t="shared" si="7"/>
        <v>10</v>
      </c>
      <c r="O32" s="6">
        <f t="shared" si="8"/>
        <v>135000</v>
      </c>
      <c r="P32">
        <v>0</v>
      </c>
      <c r="Q32" s="6">
        <f t="shared" si="9"/>
        <v>0</v>
      </c>
    </row>
    <row r="33" spans="1:17" x14ac:dyDescent="0.2">
      <c r="A33">
        <v>2027</v>
      </c>
      <c r="B33" t="s">
        <v>29</v>
      </c>
      <c r="C33">
        <f t="shared" si="10"/>
        <v>2</v>
      </c>
      <c r="D33">
        <f>SUMPRODUCT($C$15:C33,--(ROW($C$15:C33)&gt;=ROW(C33)-$F$2+1))</f>
        <v>24</v>
      </c>
      <c r="E33" s="6">
        <f t="shared" si="0"/>
        <v>120000</v>
      </c>
      <c r="F33">
        <v>1</v>
      </c>
      <c r="G33" s="6">
        <f t="shared" si="1"/>
        <v>7500</v>
      </c>
      <c r="H33">
        <v>1</v>
      </c>
      <c r="I33" s="6">
        <f t="shared" si="2"/>
        <v>25000</v>
      </c>
      <c r="J33" s="7">
        <f t="shared" si="3"/>
        <v>72</v>
      </c>
      <c r="K33" s="7">
        <f t="shared" si="4"/>
        <v>4</v>
      </c>
      <c r="L33" s="7">
        <f t="shared" si="5"/>
        <v>17</v>
      </c>
      <c r="M33" s="7">
        <f t="shared" si="6"/>
        <v>93</v>
      </c>
      <c r="N33" s="7">
        <f t="shared" si="7"/>
        <v>11.625</v>
      </c>
      <c r="O33" s="6">
        <f t="shared" si="8"/>
        <v>152500</v>
      </c>
      <c r="P33">
        <v>0</v>
      </c>
      <c r="Q33" s="6">
        <f t="shared" si="9"/>
        <v>0</v>
      </c>
    </row>
    <row r="34" spans="1:17" x14ac:dyDescent="0.2">
      <c r="A34">
        <v>2027</v>
      </c>
      <c r="B34" t="s">
        <v>30</v>
      </c>
      <c r="C34">
        <f t="shared" si="10"/>
        <v>2</v>
      </c>
      <c r="D34">
        <f>SUMPRODUCT($C$15:C34,--(ROW($C$15:C34)&gt;=ROW(C34)-$F$2+1))</f>
        <v>24</v>
      </c>
      <c r="E34" s="6">
        <f t="shared" si="0"/>
        <v>120000</v>
      </c>
      <c r="F34">
        <v>1</v>
      </c>
      <c r="G34" s="6">
        <f t="shared" si="1"/>
        <v>7500</v>
      </c>
      <c r="H34">
        <v>0</v>
      </c>
      <c r="I34" s="6">
        <f t="shared" si="2"/>
        <v>0</v>
      </c>
      <c r="J34" s="7">
        <f t="shared" si="3"/>
        <v>72</v>
      </c>
      <c r="K34" s="7">
        <f t="shared" si="4"/>
        <v>4</v>
      </c>
      <c r="L34" s="7">
        <f t="shared" si="5"/>
        <v>0</v>
      </c>
      <c r="M34" s="7">
        <f t="shared" si="6"/>
        <v>76</v>
      </c>
      <c r="N34" s="7">
        <f t="shared" si="7"/>
        <v>9.5</v>
      </c>
      <c r="O34" s="6">
        <f t="shared" si="8"/>
        <v>127500</v>
      </c>
      <c r="P34">
        <v>0</v>
      </c>
      <c r="Q34" s="6">
        <f t="shared" si="9"/>
        <v>0</v>
      </c>
    </row>
    <row r="35" spans="1:17" x14ac:dyDescent="0.2">
      <c r="A35">
        <v>2027</v>
      </c>
      <c r="B35" t="s">
        <v>31</v>
      </c>
      <c r="C35">
        <f t="shared" si="10"/>
        <v>2</v>
      </c>
      <c r="D35">
        <f>SUMPRODUCT($C$15:C35,--(ROW($C$15:C35)&gt;=ROW(C35)-$F$2+1))</f>
        <v>24</v>
      </c>
      <c r="E35" s="6">
        <f t="shared" si="0"/>
        <v>120000</v>
      </c>
      <c r="F35">
        <v>2</v>
      </c>
      <c r="G35" s="6">
        <f t="shared" si="1"/>
        <v>15000</v>
      </c>
      <c r="H35">
        <v>0</v>
      </c>
      <c r="I35" s="6">
        <f t="shared" si="2"/>
        <v>0</v>
      </c>
      <c r="J35" s="7">
        <f t="shared" si="3"/>
        <v>72</v>
      </c>
      <c r="K35" s="7">
        <f t="shared" si="4"/>
        <v>8</v>
      </c>
      <c r="L35" s="7">
        <f t="shared" si="5"/>
        <v>0</v>
      </c>
      <c r="M35" s="7">
        <f t="shared" si="6"/>
        <v>80</v>
      </c>
      <c r="N35" s="7">
        <f t="shared" si="7"/>
        <v>10</v>
      </c>
      <c r="O35" s="6">
        <f t="shared" si="8"/>
        <v>135000</v>
      </c>
      <c r="P35">
        <v>0</v>
      </c>
      <c r="Q35" s="6">
        <f t="shared" si="9"/>
        <v>0</v>
      </c>
    </row>
    <row r="36" spans="1:17" x14ac:dyDescent="0.2">
      <c r="A36">
        <v>2027</v>
      </c>
      <c r="B36" t="s">
        <v>32</v>
      </c>
      <c r="C36">
        <f t="shared" si="10"/>
        <v>2</v>
      </c>
      <c r="D36">
        <f>SUMPRODUCT($C$15:C36,--(ROW($C$15:C36)&gt;=ROW(C36)-$F$2+1))</f>
        <v>24</v>
      </c>
      <c r="E36" s="6">
        <f t="shared" si="0"/>
        <v>120000</v>
      </c>
      <c r="F36">
        <v>1</v>
      </c>
      <c r="G36" s="6">
        <f t="shared" si="1"/>
        <v>7500</v>
      </c>
      <c r="H36">
        <v>1</v>
      </c>
      <c r="I36" s="6">
        <f t="shared" si="2"/>
        <v>25000</v>
      </c>
      <c r="J36" s="7">
        <f t="shared" si="3"/>
        <v>72</v>
      </c>
      <c r="K36" s="7">
        <f t="shared" si="4"/>
        <v>4</v>
      </c>
      <c r="L36" s="7">
        <f t="shared" si="5"/>
        <v>17</v>
      </c>
      <c r="M36" s="7">
        <f t="shared" si="6"/>
        <v>93</v>
      </c>
      <c r="N36" s="7">
        <f t="shared" si="7"/>
        <v>11.625</v>
      </c>
      <c r="O36" s="6">
        <f t="shared" si="8"/>
        <v>152500</v>
      </c>
      <c r="P36">
        <v>0</v>
      </c>
      <c r="Q36" s="6">
        <f t="shared" si="9"/>
        <v>0</v>
      </c>
    </row>
    <row r="37" spans="1:17" x14ac:dyDescent="0.2">
      <c r="A37">
        <v>2027</v>
      </c>
      <c r="B37" t="s">
        <v>33</v>
      </c>
      <c r="C37">
        <f t="shared" si="10"/>
        <v>2</v>
      </c>
      <c r="D37">
        <f>SUMPRODUCT($C$15:C37,--(ROW($C$15:C37)&gt;=ROW(C37)-$F$2+1))</f>
        <v>24</v>
      </c>
      <c r="E37" s="6">
        <f t="shared" si="0"/>
        <v>120000</v>
      </c>
      <c r="F37">
        <v>1</v>
      </c>
      <c r="G37" s="6">
        <f t="shared" si="1"/>
        <v>7500</v>
      </c>
      <c r="H37">
        <v>0</v>
      </c>
      <c r="I37" s="6">
        <f t="shared" si="2"/>
        <v>0</v>
      </c>
      <c r="J37" s="7">
        <f t="shared" si="3"/>
        <v>72</v>
      </c>
      <c r="K37" s="7">
        <f t="shared" si="4"/>
        <v>4</v>
      </c>
      <c r="L37" s="7">
        <f t="shared" si="5"/>
        <v>0</v>
      </c>
      <c r="M37" s="7">
        <f t="shared" si="6"/>
        <v>76</v>
      </c>
      <c r="N37" s="7">
        <f t="shared" si="7"/>
        <v>9.5</v>
      </c>
      <c r="O37" s="6">
        <f t="shared" si="8"/>
        <v>127500</v>
      </c>
      <c r="P37">
        <v>0</v>
      </c>
      <c r="Q37" s="6">
        <f t="shared" si="9"/>
        <v>0</v>
      </c>
    </row>
    <row r="38" spans="1:17" x14ac:dyDescent="0.2">
      <c r="A38">
        <v>2027</v>
      </c>
      <c r="B38" t="s">
        <v>34</v>
      </c>
      <c r="C38">
        <f t="shared" si="10"/>
        <v>2</v>
      </c>
      <c r="D38">
        <f>SUMPRODUCT($C$15:C38,--(ROW($C$15:C38)&gt;=ROW(C38)-$F$2+1))</f>
        <v>24</v>
      </c>
      <c r="E38" s="6">
        <f t="shared" si="0"/>
        <v>120000</v>
      </c>
      <c r="F38">
        <v>2</v>
      </c>
      <c r="G38" s="6">
        <f t="shared" si="1"/>
        <v>15000</v>
      </c>
      <c r="H38">
        <v>0</v>
      </c>
      <c r="I38" s="6">
        <f t="shared" si="2"/>
        <v>0</v>
      </c>
      <c r="J38" s="7">
        <f t="shared" si="3"/>
        <v>72</v>
      </c>
      <c r="K38" s="7">
        <f t="shared" si="4"/>
        <v>8</v>
      </c>
      <c r="L38" s="7">
        <f t="shared" si="5"/>
        <v>0</v>
      </c>
      <c r="M38" s="7">
        <f t="shared" si="6"/>
        <v>80</v>
      </c>
      <c r="N38" s="7">
        <f t="shared" si="7"/>
        <v>10</v>
      </c>
      <c r="O38" s="6">
        <f t="shared" si="8"/>
        <v>135000</v>
      </c>
      <c r="P38">
        <v>0</v>
      </c>
      <c r="Q38" s="6">
        <f t="shared" si="9"/>
        <v>0</v>
      </c>
    </row>
    <row r="39" spans="1:17" x14ac:dyDescent="0.2">
      <c r="A39">
        <v>2028</v>
      </c>
      <c r="B39" t="s">
        <v>23</v>
      </c>
      <c r="C39">
        <f t="shared" si="10"/>
        <v>2</v>
      </c>
      <c r="D39">
        <f>SUMPRODUCT($C$15:C39,--(ROW($C$15:C39)&gt;=ROW(C39)-$F$2+1))</f>
        <v>24</v>
      </c>
      <c r="E39" s="6">
        <f t="shared" si="0"/>
        <v>120000</v>
      </c>
      <c r="F39">
        <v>1</v>
      </c>
      <c r="G39" s="6">
        <f t="shared" si="1"/>
        <v>7500</v>
      </c>
      <c r="H39">
        <v>1</v>
      </c>
      <c r="I39" s="6">
        <f t="shared" si="2"/>
        <v>25000</v>
      </c>
      <c r="J39" s="7">
        <f t="shared" si="3"/>
        <v>72</v>
      </c>
      <c r="K39" s="7">
        <f t="shared" si="4"/>
        <v>4</v>
      </c>
      <c r="L39" s="7">
        <f t="shared" si="5"/>
        <v>17</v>
      </c>
      <c r="M39" s="7">
        <f t="shared" si="6"/>
        <v>93</v>
      </c>
      <c r="N39" s="7">
        <f t="shared" si="7"/>
        <v>11.625</v>
      </c>
      <c r="O39" s="6">
        <f t="shared" si="8"/>
        <v>152500</v>
      </c>
      <c r="P39">
        <v>0</v>
      </c>
      <c r="Q39" s="6">
        <f t="shared" si="9"/>
        <v>0</v>
      </c>
    </row>
    <row r="40" spans="1:17" x14ac:dyDescent="0.2">
      <c r="A40">
        <v>2028</v>
      </c>
      <c r="B40" t="s">
        <v>24</v>
      </c>
      <c r="C40">
        <f t="shared" si="10"/>
        <v>2</v>
      </c>
      <c r="D40">
        <f>SUMPRODUCT($C$15:C40,--(ROW($C$15:C40)&gt;=ROW(C40)-$F$2+1))</f>
        <v>24</v>
      </c>
      <c r="E40" s="6">
        <f t="shared" si="0"/>
        <v>120000</v>
      </c>
      <c r="F40">
        <v>1</v>
      </c>
      <c r="G40" s="6">
        <f t="shared" si="1"/>
        <v>7500</v>
      </c>
      <c r="H40">
        <v>0</v>
      </c>
      <c r="I40" s="6">
        <f t="shared" si="2"/>
        <v>0</v>
      </c>
      <c r="J40" s="7">
        <f t="shared" si="3"/>
        <v>72</v>
      </c>
      <c r="K40" s="7">
        <f t="shared" si="4"/>
        <v>4</v>
      </c>
      <c r="L40" s="7">
        <f t="shared" si="5"/>
        <v>0</v>
      </c>
      <c r="M40" s="7">
        <f t="shared" si="6"/>
        <v>76</v>
      </c>
      <c r="N40" s="7">
        <f t="shared" si="7"/>
        <v>9.5</v>
      </c>
      <c r="O40" s="6">
        <f t="shared" si="8"/>
        <v>127500</v>
      </c>
      <c r="P40">
        <v>0</v>
      </c>
      <c r="Q40" s="6">
        <f t="shared" si="9"/>
        <v>0</v>
      </c>
    </row>
    <row r="41" spans="1:17" x14ac:dyDescent="0.2">
      <c r="A41">
        <v>2028</v>
      </c>
      <c r="B41" t="s">
        <v>25</v>
      </c>
      <c r="C41">
        <f t="shared" si="10"/>
        <v>2</v>
      </c>
      <c r="D41">
        <f>SUMPRODUCT($C$15:C41,--(ROW($C$15:C41)&gt;=ROW(C41)-$F$2+1))</f>
        <v>24</v>
      </c>
      <c r="E41" s="6">
        <f t="shared" si="0"/>
        <v>120000</v>
      </c>
      <c r="F41">
        <v>2</v>
      </c>
      <c r="G41" s="6">
        <f t="shared" si="1"/>
        <v>15000</v>
      </c>
      <c r="H41">
        <v>0</v>
      </c>
      <c r="I41" s="6">
        <f t="shared" si="2"/>
        <v>0</v>
      </c>
      <c r="J41" s="7">
        <f t="shared" si="3"/>
        <v>72</v>
      </c>
      <c r="K41" s="7">
        <f t="shared" si="4"/>
        <v>8</v>
      </c>
      <c r="L41" s="7">
        <f t="shared" si="5"/>
        <v>0</v>
      </c>
      <c r="M41" s="7">
        <f t="shared" si="6"/>
        <v>80</v>
      </c>
      <c r="N41" s="7">
        <f t="shared" si="7"/>
        <v>10</v>
      </c>
      <c r="O41" s="6">
        <f t="shared" si="8"/>
        <v>135000</v>
      </c>
      <c r="P41">
        <v>0</v>
      </c>
      <c r="Q41" s="6">
        <f t="shared" si="9"/>
        <v>0</v>
      </c>
    </row>
    <row r="42" spans="1:17" x14ac:dyDescent="0.2">
      <c r="A42">
        <v>2028</v>
      </c>
      <c r="B42" t="s">
        <v>26</v>
      </c>
      <c r="C42">
        <f t="shared" si="10"/>
        <v>2</v>
      </c>
      <c r="D42">
        <f>SUMPRODUCT($C$15:C42,--(ROW($C$15:C42)&gt;=ROW(C42)-$F$2+1))</f>
        <v>24</v>
      </c>
      <c r="E42" s="6">
        <f t="shared" si="0"/>
        <v>120000</v>
      </c>
      <c r="F42">
        <v>1</v>
      </c>
      <c r="G42" s="6">
        <f t="shared" si="1"/>
        <v>7500</v>
      </c>
      <c r="H42">
        <v>1</v>
      </c>
      <c r="I42" s="6">
        <f t="shared" si="2"/>
        <v>25000</v>
      </c>
      <c r="J42" s="7">
        <f t="shared" si="3"/>
        <v>72</v>
      </c>
      <c r="K42" s="7">
        <f t="shared" si="4"/>
        <v>4</v>
      </c>
      <c r="L42" s="7">
        <f t="shared" si="5"/>
        <v>17</v>
      </c>
      <c r="M42" s="7">
        <f t="shared" si="6"/>
        <v>93</v>
      </c>
      <c r="N42" s="7">
        <f t="shared" si="7"/>
        <v>11.625</v>
      </c>
      <c r="O42" s="6">
        <f t="shared" si="8"/>
        <v>152500</v>
      </c>
      <c r="P42">
        <v>0</v>
      </c>
      <c r="Q42" s="6">
        <f t="shared" si="9"/>
        <v>0</v>
      </c>
    </row>
    <row r="43" spans="1:17" x14ac:dyDescent="0.2">
      <c r="A43">
        <v>2028</v>
      </c>
      <c r="B43" t="s">
        <v>27</v>
      </c>
      <c r="C43">
        <f t="shared" si="10"/>
        <v>2</v>
      </c>
      <c r="D43">
        <f>SUMPRODUCT($C$15:C43,--(ROW($C$15:C43)&gt;=ROW(C43)-$F$2+1))</f>
        <v>24</v>
      </c>
      <c r="E43" s="6">
        <f t="shared" si="0"/>
        <v>120000</v>
      </c>
      <c r="F43">
        <v>1</v>
      </c>
      <c r="G43" s="6">
        <f t="shared" si="1"/>
        <v>7500</v>
      </c>
      <c r="H43">
        <v>0</v>
      </c>
      <c r="I43" s="6">
        <f t="shared" si="2"/>
        <v>0</v>
      </c>
      <c r="J43" s="7">
        <f t="shared" si="3"/>
        <v>72</v>
      </c>
      <c r="K43" s="7">
        <f t="shared" si="4"/>
        <v>4</v>
      </c>
      <c r="L43" s="7">
        <f t="shared" si="5"/>
        <v>0</v>
      </c>
      <c r="M43" s="7">
        <f t="shared" si="6"/>
        <v>76</v>
      </c>
      <c r="N43" s="7">
        <f t="shared" si="7"/>
        <v>9.5</v>
      </c>
      <c r="O43" s="6">
        <f t="shared" si="8"/>
        <v>127500</v>
      </c>
      <c r="P43">
        <v>0</v>
      </c>
      <c r="Q43" s="6">
        <f t="shared" si="9"/>
        <v>0</v>
      </c>
    </row>
    <row r="44" spans="1:17" x14ac:dyDescent="0.2">
      <c r="A44">
        <v>2028</v>
      </c>
      <c r="B44" t="s">
        <v>28</v>
      </c>
      <c r="C44">
        <f t="shared" si="10"/>
        <v>2</v>
      </c>
      <c r="D44">
        <f>SUMPRODUCT($C$15:C44,--(ROW($C$15:C44)&gt;=ROW(C44)-$F$2+1))</f>
        <v>24</v>
      </c>
      <c r="E44" s="6">
        <f t="shared" si="0"/>
        <v>120000</v>
      </c>
      <c r="F44">
        <v>2</v>
      </c>
      <c r="G44" s="6">
        <f t="shared" si="1"/>
        <v>15000</v>
      </c>
      <c r="H44">
        <v>0</v>
      </c>
      <c r="I44" s="6">
        <f t="shared" si="2"/>
        <v>0</v>
      </c>
      <c r="J44" s="7">
        <f t="shared" si="3"/>
        <v>72</v>
      </c>
      <c r="K44" s="7">
        <f t="shared" si="4"/>
        <v>8</v>
      </c>
      <c r="L44" s="7">
        <f t="shared" si="5"/>
        <v>0</v>
      </c>
      <c r="M44" s="7">
        <f t="shared" si="6"/>
        <v>80</v>
      </c>
      <c r="N44" s="7">
        <f t="shared" si="7"/>
        <v>10</v>
      </c>
      <c r="O44" s="6">
        <f t="shared" si="8"/>
        <v>135000</v>
      </c>
      <c r="P44">
        <v>0</v>
      </c>
      <c r="Q44" s="6">
        <f t="shared" si="9"/>
        <v>0</v>
      </c>
    </row>
    <row r="45" spans="1:17" x14ac:dyDescent="0.2">
      <c r="A45">
        <v>2028</v>
      </c>
      <c r="B45" t="s">
        <v>29</v>
      </c>
      <c r="C45">
        <f t="shared" si="10"/>
        <v>2</v>
      </c>
      <c r="D45">
        <f>SUMPRODUCT($C$15:C45,--(ROW($C$15:C45)&gt;=ROW(C45)-$F$2+1))</f>
        <v>24</v>
      </c>
      <c r="E45" s="6">
        <f t="shared" si="0"/>
        <v>120000</v>
      </c>
      <c r="F45">
        <v>1</v>
      </c>
      <c r="G45" s="6">
        <f t="shared" si="1"/>
        <v>7500</v>
      </c>
      <c r="H45">
        <v>1</v>
      </c>
      <c r="I45" s="6">
        <f t="shared" si="2"/>
        <v>25000</v>
      </c>
      <c r="J45" s="7">
        <f t="shared" si="3"/>
        <v>72</v>
      </c>
      <c r="K45" s="7">
        <f t="shared" si="4"/>
        <v>4</v>
      </c>
      <c r="L45" s="7">
        <f t="shared" si="5"/>
        <v>17</v>
      </c>
      <c r="M45" s="7">
        <f t="shared" si="6"/>
        <v>93</v>
      </c>
      <c r="N45" s="7">
        <f t="shared" si="7"/>
        <v>11.625</v>
      </c>
      <c r="O45" s="6">
        <f t="shared" si="8"/>
        <v>152500</v>
      </c>
      <c r="P45">
        <v>0</v>
      </c>
      <c r="Q45" s="6">
        <f t="shared" si="9"/>
        <v>0</v>
      </c>
    </row>
    <row r="46" spans="1:17" x14ac:dyDescent="0.2">
      <c r="A46">
        <v>2028</v>
      </c>
      <c r="B46" t="s">
        <v>30</v>
      </c>
      <c r="C46">
        <f t="shared" si="10"/>
        <v>2</v>
      </c>
      <c r="D46">
        <f>SUMPRODUCT($C$15:C46,--(ROW($C$15:C46)&gt;=ROW(C46)-$F$2+1))</f>
        <v>24</v>
      </c>
      <c r="E46" s="6">
        <f t="shared" si="0"/>
        <v>120000</v>
      </c>
      <c r="F46">
        <v>1</v>
      </c>
      <c r="G46" s="6">
        <f t="shared" si="1"/>
        <v>7500</v>
      </c>
      <c r="H46">
        <v>0</v>
      </c>
      <c r="I46" s="6">
        <f t="shared" si="2"/>
        <v>0</v>
      </c>
      <c r="J46" s="7">
        <f t="shared" si="3"/>
        <v>72</v>
      </c>
      <c r="K46" s="7">
        <f t="shared" si="4"/>
        <v>4</v>
      </c>
      <c r="L46" s="7">
        <f t="shared" si="5"/>
        <v>0</v>
      </c>
      <c r="M46" s="7">
        <f t="shared" si="6"/>
        <v>76</v>
      </c>
      <c r="N46" s="7">
        <f t="shared" si="7"/>
        <v>9.5</v>
      </c>
      <c r="O46" s="6">
        <f t="shared" si="8"/>
        <v>127500</v>
      </c>
      <c r="P46">
        <v>0</v>
      </c>
      <c r="Q46" s="6">
        <f t="shared" si="9"/>
        <v>0</v>
      </c>
    </row>
    <row r="47" spans="1:17" x14ac:dyDescent="0.2">
      <c r="A47">
        <v>2028</v>
      </c>
      <c r="B47" t="s">
        <v>31</v>
      </c>
      <c r="C47">
        <f t="shared" si="10"/>
        <v>2</v>
      </c>
      <c r="D47">
        <f>SUMPRODUCT($C$15:C47,--(ROW($C$15:C47)&gt;=ROW(C47)-$F$2+1))</f>
        <v>24</v>
      </c>
      <c r="E47" s="6">
        <f t="shared" si="0"/>
        <v>120000</v>
      </c>
      <c r="F47">
        <v>2</v>
      </c>
      <c r="G47" s="6">
        <f t="shared" si="1"/>
        <v>15000</v>
      </c>
      <c r="H47">
        <v>0</v>
      </c>
      <c r="I47" s="6">
        <f t="shared" si="2"/>
        <v>0</v>
      </c>
      <c r="J47" s="7">
        <f t="shared" si="3"/>
        <v>72</v>
      </c>
      <c r="K47" s="7">
        <f t="shared" si="4"/>
        <v>8</v>
      </c>
      <c r="L47" s="7">
        <f t="shared" si="5"/>
        <v>0</v>
      </c>
      <c r="M47" s="7">
        <f t="shared" si="6"/>
        <v>80</v>
      </c>
      <c r="N47" s="7">
        <f t="shared" si="7"/>
        <v>10</v>
      </c>
      <c r="O47" s="6">
        <f t="shared" si="8"/>
        <v>135000</v>
      </c>
      <c r="P47">
        <v>0</v>
      </c>
      <c r="Q47" s="6">
        <f t="shared" si="9"/>
        <v>0</v>
      </c>
    </row>
    <row r="48" spans="1:17" x14ac:dyDescent="0.2">
      <c r="A48">
        <v>2028</v>
      </c>
      <c r="B48" t="s">
        <v>32</v>
      </c>
      <c r="C48">
        <f t="shared" si="10"/>
        <v>2</v>
      </c>
      <c r="D48">
        <f>SUMPRODUCT($C$15:C48,--(ROW($C$15:C48)&gt;=ROW(C48)-$F$2+1))</f>
        <v>24</v>
      </c>
      <c r="E48" s="6">
        <f t="shared" si="0"/>
        <v>120000</v>
      </c>
      <c r="F48">
        <v>1</v>
      </c>
      <c r="G48" s="6">
        <f t="shared" si="1"/>
        <v>7500</v>
      </c>
      <c r="H48">
        <v>1</v>
      </c>
      <c r="I48" s="6">
        <f t="shared" si="2"/>
        <v>25000</v>
      </c>
      <c r="J48" s="7">
        <f t="shared" si="3"/>
        <v>72</v>
      </c>
      <c r="K48" s="7">
        <f t="shared" si="4"/>
        <v>4</v>
      </c>
      <c r="L48" s="7">
        <f t="shared" si="5"/>
        <v>17</v>
      </c>
      <c r="M48" s="7">
        <f t="shared" si="6"/>
        <v>93</v>
      </c>
      <c r="N48" s="7">
        <f t="shared" si="7"/>
        <v>11.625</v>
      </c>
      <c r="O48" s="6">
        <f t="shared" si="8"/>
        <v>152500</v>
      </c>
      <c r="P48">
        <v>0</v>
      </c>
      <c r="Q48" s="6">
        <f t="shared" si="9"/>
        <v>0</v>
      </c>
    </row>
    <row r="49" spans="1:17" x14ac:dyDescent="0.2">
      <c r="A49">
        <v>2028</v>
      </c>
      <c r="B49" t="s">
        <v>33</v>
      </c>
      <c r="C49">
        <f t="shared" si="10"/>
        <v>2</v>
      </c>
      <c r="D49">
        <f>SUMPRODUCT($C$15:C49,--(ROW($C$15:C49)&gt;=ROW(C49)-$F$2+1))</f>
        <v>24</v>
      </c>
      <c r="E49" s="6">
        <f t="shared" si="0"/>
        <v>120000</v>
      </c>
      <c r="F49">
        <v>1</v>
      </c>
      <c r="G49" s="6">
        <f t="shared" si="1"/>
        <v>7500</v>
      </c>
      <c r="H49">
        <v>0</v>
      </c>
      <c r="I49" s="6">
        <f t="shared" si="2"/>
        <v>0</v>
      </c>
      <c r="J49" s="7">
        <f t="shared" si="3"/>
        <v>72</v>
      </c>
      <c r="K49" s="7">
        <f t="shared" si="4"/>
        <v>4</v>
      </c>
      <c r="L49" s="7">
        <f t="shared" si="5"/>
        <v>0</v>
      </c>
      <c r="M49" s="7">
        <f t="shared" si="6"/>
        <v>76</v>
      </c>
      <c r="N49" s="7">
        <f t="shared" si="7"/>
        <v>9.5</v>
      </c>
      <c r="O49" s="6">
        <f t="shared" si="8"/>
        <v>127500</v>
      </c>
      <c r="P49">
        <v>0</v>
      </c>
      <c r="Q49" s="6">
        <f t="shared" si="9"/>
        <v>0</v>
      </c>
    </row>
    <row r="50" spans="1:17" x14ac:dyDescent="0.2">
      <c r="A50">
        <v>2028</v>
      </c>
      <c r="B50" t="s">
        <v>34</v>
      </c>
      <c r="C50">
        <f t="shared" si="10"/>
        <v>2</v>
      </c>
      <c r="D50">
        <f>SUMPRODUCT($C$15:C50,--(ROW($C$15:C50)&gt;=ROW(C50)-$F$2+1))</f>
        <v>24</v>
      </c>
      <c r="E50" s="6">
        <f t="shared" si="0"/>
        <v>120000</v>
      </c>
      <c r="F50">
        <v>2</v>
      </c>
      <c r="G50" s="6">
        <f t="shared" si="1"/>
        <v>15000</v>
      </c>
      <c r="H50">
        <v>0</v>
      </c>
      <c r="I50" s="6">
        <f t="shared" si="2"/>
        <v>0</v>
      </c>
      <c r="J50" s="7">
        <f t="shared" si="3"/>
        <v>72</v>
      </c>
      <c r="K50" s="7">
        <f t="shared" si="4"/>
        <v>8</v>
      </c>
      <c r="L50" s="7">
        <f t="shared" si="5"/>
        <v>0</v>
      </c>
      <c r="M50" s="7">
        <f t="shared" si="6"/>
        <v>80</v>
      </c>
      <c r="N50" s="7">
        <f t="shared" si="7"/>
        <v>10</v>
      </c>
      <c r="O50" s="6">
        <f t="shared" si="8"/>
        <v>135000</v>
      </c>
      <c r="P50">
        <v>0</v>
      </c>
      <c r="Q50" s="6">
        <f t="shared" si="9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Douglas Stevenson</cp:lastModifiedBy>
  <dcterms:created xsi:type="dcterms:W3CDTF">2025-11-19T05:05:32Z</dcterms:created>
  <dcterms:modified xsi:type="dcterms:W3CDTF">2025-11-21T18:49:37Z</dcterms:modified>
</cp:coreProperties>
</file>