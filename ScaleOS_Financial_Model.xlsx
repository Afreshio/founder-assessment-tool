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6" customWidth="1" min="5" max="5"/>
    <col width="12" customWidth="1" min="6" max="6"/>
    <col width="18" customWidth="1" min="7" max="7"/>
    <col width="10" customWidth="1" min="8" max="8"/>
    <col width="16" customWidth="1" min="9" max="9"/>
    <col width="12" customWidth="1" min="10" max="10"/>
    <col width="15" customWidth="1" min="11" max="11"/>
    <col width="12" customWidth="1" min="12" max="12"/>
    <col width="13" customWidth="1" min="13" max="13"/>
    <col width="12" customWidth="1" min="14" max="14"/>
    <col width="16" customWidth="1" min="15" max="15"/>
    <col width="18" customWidth="1" min="16" max="16"/>
    <col width="20" customWidth="1" min="17" max="17"/>
  </cols>
  <sheetData>
    <row r="1">
      <c r="E1" s="1" t="inlineStr">
        <is>
          <t>Inputs</t>
        </is>
      </c>
    </row>
    <row r="2">
      <c r="E2" s="2" t="inlineStr">
        <is>
          <t>Tenure (months)</t>
        </is>
      </c>
      <c r="F2" s="3" t="n">
        <v>6</v>
      </c>
    </row>
    <row r="3">
      <c r="E3" s="2" t="inlineStr">
        <is>
          <t>Initial CEOs (Month 1)</t>
        </is>
      </c>
      <c r="F3" s="3" t="n">
        <v>2</v>
      </c>
    </row>
    <row r="4">
      <c r="E4" s="2" t="inlineStr">
        <is>
          <t>New CEOs added / month</t>
        </is>
      </c>
      <c r="F4" s="3" t="n">
        <v>1</v>
      </c>
    </row>
    <row r="5">
      <c r="E5" s="2" t="inlineStr">
        <is>
          <t>On-Demand price per course</t>
        </is>
      </c>
      <c r="F5" s="3" t="n">
        <v>500</v>
      </c>
    </row>
    <row r="6">
      <c r="E6" s="4" t="n">
        <v>2026</v>
      </c>
      <c r="F6" s="4" t="n">
        <v>2027</v>
      </c>
      <c r="G6" s="4" t="n">
        <v>2028</v>
      </c>
    </row>
    <row r="7">
      <c r="D7" s="5" t="inlineStr">
        <is>
          <t>CEO Revenue ($)</t>
        </is>
      </c>
      <c r="E7" s="6">
        <f>SUMIFS($E$15:$E$50,$A$15:$A$50,2026)</f>
        <v/>
      </c>
      <c r="F7" s="6">
        <f>SUMIFS($E$15:$E$50,$A$15:$A$50,2027)</f>
        <v/>
      </c>
      <c r="G7" s="6">
        <f>SUMIFS($E$15:$E$50,$A$15:$A$50,2028)</f>
        <v/>
      </c>
    </row>
    <row r="8">
      <c r="D8" s="5" t="inlineStr">
        <is>
          <t>Workshop Revenue ($)</t>
        </is>
      </c>
      <c r="E8" s="6">
        <f>SUMIFS($G$15:$G$50,$A$15:$A$50,2026)</f>
        <v/>
      </c>
      <c r="F8" s="6">
        <f>SUMIFS($G$15:$G$50,$A$15:$A$50,2027)</f>
        <v/>
      </c>
      <c r="G8" s="6">
        <f>SUMIFS($G$15:$G$50,$A$15:$A$50,2028)</f>
        <v/>
      </c>
    </row>
    <row r="9">
      <c r="D9" s="5" t="inlineStr">
        <is>
          <t>Sprint Revenue ($)</t>
        </is>
      </c>
      <c r="E9" s="6">
        <f>SUMIFS($I$15:$I$50,$A$15:$A$50,2026)</f>
        <v/>
      </c>
      <c r="F9" s="6">
        <f>SUMIFS($I$15:$I$50,$A$15:$A$50,2027)</f>
        <v/>
      </c>
      <c r="G9" s="6">
        <f>SUMIFS($I$15:$I$50,$A$15:$A$50,2028)</f>
        <v/>
      </c>
    </row>
    <row r="10">
      <c r="D10" s="5" t="inlineStr">
        <is>
          <t>On-Demand Revenue ($)</t>
        </is>
      </c>
      <c r="E10" s="6">
        <f>SUMIFS($Q$15:$Q$50,$A$15:$A$50,2026)</f>
        <v/>
      </c>
      <c r="F10" s="6">
        <f>SUMIFS($Q$15:$Q$50,$A$15:$A$50,2027)</f>
        <v/>
      </c>
      <c r="G10" s="6">
        <f>SUMIFS($Q$15:$Q$50,$A$15:$A$50,2028)</f>
        <v/>
      </c>
    </row>
    <row r="11">
      <c r="D11" s="5" t="inlineStr">
        <is>
          <t>Total Revenue ($)</t>
        </is>
      </c>
      <c r="E11" s="6">
        <f>SUMIFS($O$15:$O$50,$A$15:$A$50,2026)</f>
        <v/>
      </c>
      <c r="F11" s="6">
        <f>SUMIFS($O$15:$O$50,$A$15:$A$50,2027)</f>
        <v/>
      </c>
      <c r="G11" s="6">
        <f>SUMIFS($O$15:$O$50,$A$15:$A$50,2028)</f>
        <v/>
      </c>
    </row>
    <row r="12">
      <c r="D12" s="5" t="inlineStr">
        <is>
          <t>Days</t>
        </is>
      </c>
      <c r="E12" s="7">
        <f>SUMIFS($N$15:$N$50,$A$15:$A$50,2026)</f>
        <v/>
      </c>
      <c r="F12" s="7">
        <f>SUMIFS($N$15:$N$50,$A$15:$A$50,2027)</f>
        <v/>
      </c>
      <c r="G12" s="7">
        <f>SUMIFS($N$15:$N$50,$A$15:$A$50,2028)</f>
        <v/>
      </c>
    </row>
    <row r="14">
      <c r="A14" s="8" t="inlineStr">
        <is>
          <t>Year</t>
        </is>
      </c>
      <c r="B14" s="8" t="inlineStr">
        <is>
          <t>Month</t>
        </is>
      </c>
      <c r="C14" s="8" t="inlineStr">
        <is>
          <t>New_CEOs</t>
        </is>
      </c>
      <c r="D14" s="8" t="inlineStr">
        <is>
          <t>Active_CEOs</t>
        </is>
      </c>
      <c r="E14" s="8" t="inlineStr">
        <is>
          <t>CEO Revenue ($)</t>
        </is>
      </c>
      <c r="F14" s="8" t="inlineStr">
        <is>
          <t>Workshops</t>
        </is>
      </c>
      <c r="G14" s="8" t="inlineStr">
        <is>
          <t>Workshop Revenue ($)</t>
        </is>
      </c>
      <c r="H14" s="8" t="inlineStr">
        <is>
          <t>Sprints</t>
        </is>
      </c>
      <c r="I14" s="8" t="inlineStr">
        <is>
          <t>Sprint Revenue ($)</t>
        </is>
      </c>
      <c r="J14" s="8" t="inlineStr">
        <is>
          <t>CEO Hours</t>
        </is>
      </c>
      <c r="K14" s="8" t="inlineStr">
        <is>
          <t>Workshop Hours</t>
        </is>
      </c>
      <c r="L14" s="8" t="inlineStr">
        <is>
          <t>Sprint Hours</t>
        </is>
      </c>
      <c r="M14" s="8" t="inlineStr">
        <is>
          <t>Total Hours</t>
        </is>
      </c>
      <c r="N14" s="8" t="inlineStr">
        <is>
          <t>Total Days</t>
        </is>
      </c>
      <c r="O14" s="8" t="inlineStr">
        <is>
          <t>Total Revenue ($)</t>
        </is>
      </c>
      <c r="P14" s="8" t="inlineStr">
        <is>
          <t>On-Demand Courses</t>
        </is>
      </c>
      <c r="Q14" s="8" t="inlineStr">
        <is>
          <t>On-Demand Revenue ($)</t>
        </is>
      </c>
    </row>
    <row r="15">
      <c r="A15" t="n">
        <v>2026</v>
      </c>
      <c r="B15" t="inlineStr">
        <is>
          <t>Jan</t>
        </is>
      </c>
      <c r="C15">
        <f>$F$3</f>
        <v/>
      </c>
      <c r="D15">
        <f>SUMPRODUCT($C$15:C15,--(ROW($C$15:C15)&gt;=ROW(C15)-$F$2+1))</f>
        <v/>
      </c>
      <c r="E15" s="6">
        <f>D15*5000</f>
        <v/>
      </c>
      <c r="F15" t="n">
        <v>1</v>
      </c>
      <c r="G15" s="6">
        <f>F15*7500</f>
        <v/>
      </c>
      <c r="H15" t="n">
        <v>1</v>
      </c>
      <c r="I15" s="6">
        <f>H15*25000</f>
        <v/>
      </c>
      <c r="J15" s="7">
        <f>D15*2*1.5</f>
        <v/>
      </c>
      <c r="K15" s="7">
        <f>F15*4</f>
        <v/>
      </c>
      <c r="L15" s="7">
        <f>H15*17</f>
        <v/>
      </c>
      <c r="M15" s="7">
        <f>J15+K15+L15</f>
        <v/>
      </c>
      <c r="N15" s="7">
        <f>M15/8</f>
        <v/>
      </c>
      <c r="O15" s="6">
        <f>E15+G15+I15+Q15</f>
        <v/>
      </c>
      <c r="P15" t="n">
        <v>0</v>
      </c>
      <c r="Q15" s="6">
        <f>P15*$F$5</f>
        <v/>
      </c>
    </row>
    <row r="16">
      <c r="A16" t="n">
        <v>2026</v>
      </c>
      <c r="B16" t="inlineStr">
        <is>
          <t>Feb</t>
        </is>
      </c>
      <c r="C16">
        <f>$F$4</f>
        <v/>
      </c>
      <c r="D16">
        <f>SUMPRODUCT($C$15:C16,--(ROW($C$15:C16)&gt;=ROW(C16)-$F$2+1))</f>
        <v/>
      </c>
      <c r="E16" s="6">
        <f>D16*5000</f>
        <v/>
      </c>
      <c r="F16" t="n">
        <v>1</v>
      </c>
      <c r="G16" s="6">
        <f>F16*7500</f>
        <v/>
      </c>
      <c r="H16" t="n">
        <v>0</v>
      </c>
      <c r="I16" s="6">
        <f>H16*25000</f>
        <v/>
      </c>
      <c r="J16" s="7">
        <f>D16*2*1.5</f>
        <v/>
      </c>
      <c r="K16" s="7">
        <f>F16*4</f>
        <v/>
      </c>
      <c r="L16" s="7">
        <f>H16*17</f>
        <v/>
      </c>
      <c r="M16" s="7">
        <f>J16+K16+L16</f>
        <v/>
      </c>
      <c r="N16" s="7">
        <f>M16/8</f>
        <v/>
      </c>
      <c r="O16" s="6">
        <f>E16+G16+I16+Q16</f>
        <v/>
      </c>
      <c r="P16" t="n">
        <v>0</v>
      </c>
      <c r="Q16" s="6">
        <f>P16*$F$5</f>
        <v/>
      </c>
    </row>
    <row r="17">
      <c r="A17" t="n">
        <v>2026</v>
      </c>
      <c r="B17" t="inlineStr">
        <is>
          <t>Mar</t>
        </is>
      </c>
      <c r="C17">
        <f>$F$4</f>
        <v/>
      </c>
      <c r="D17">
        <f>SUMPRODUCT($C$15:C17,--(ROW($C$15:C17)&gt;=ROW(C17)-$F$2+1))</f>
        <v/>
      </c>
      <c r="E17" s="6">
        <f>D17*5000</f>
        <v/>
      </c>
      <c r="F17" t="n">
        <v>2</v>
      </c>
      <c r="G17" s="6">
        <f>F17*7500</f>
        <v/>
      </c>
      <c r="H17" t="n">
        <v>0</v>
      </c>
      <c r="I17" s="6">
        <f>H17*25000</f>
        <v/>
      </c>
      <c r="J17" s="7">
        <f>D17*2*1.5</f>
        <v/>
      </c>
      <c r="K17" s="7">
        <f>F17*4</f>
        <v/>
      </c>
      <c r="L17" s="7">
        <f>H17*17</f>
        <v/>
      </c>
      <c r="M17" s="7">
        <f>J17+K17+L17</f>
        <v/>
      </c>
      <c r="N17" s="7">
        <f>M17/8</f>
        <v/>
      </c>
      <c r="O17" s="6">
        <f>E17+G17+I17+Q17</f>
        <v/>
      </c>
      <c r="P17" t="n">
        <v>0</v>
      </c>
      <c r="Q17" s="6">
        <f>P17*$F$5</f>
        <v/>
      </c>
    </row>
    <row r="18">
      <c r="A18" t="n">
        <v>2026</v>
      </c>
      <c r="B18" t="inlineStr">
        <is>
          <t>Apr</t>
        </is>
      </c>
      <c r="C18">
        <f>$F$4</f>
        <v/>
      </c>
      <c r="D18">
        <f>SUMPRODUCT($C$15:C18,--(ROW($C$15:C18)&gt;=ROW(C18)-$F$2+1))</f>
        <v/>
      </c>
      <c r="E18" s="6">
        <f>D18*5000</f>
        <v/>
      </c>
      <c r="F18" t="n">
        <v>1</v>
      </c>
      <c r="G18" s="6">
        <f>F18*7500</f>
        <v/>
      </c>
      <c r="H18" t="n">
        <v>1</v>
      </c>
      <c r="I18" s="6">
        <f>H18*25000</f>
        <v/>
      </c>
      <c r="J18" s="7">
        <f>D18*2*1.5</f>
        <v/>
      </c>
      <c r="K18" s="7">
        <f>F18*4</f>
        <v/>
      </c>
      <c r="L18" s="7">
        <f>H18*17</f>
        <v/>
      </c>
      <c r="M18" s="7">
        <f>J18+K18+L18</f>
        <v/>
      </c>
      <c r="N18" s="7">
        <f>M18/8</f>
        <v/>
      </c>
      <c r="O18" s="6">
        <f>E18+G18+I18+Q18</f>
        <v/>
      </c>
      <c r="P18" t="n">
        <v>0</v>
      </c>
      <c r="Q18" s="6">
        <f>P18*$F$5</f>
        <v/>
      </c>
    </row>
    <row r="19">
      <c r="A19" t="n">
        <v>2026</v>
      </c>
      <c r="B19" t="inlineStr">
        <is>
          <t>May</t>
        </is>
      </c>
      <c r="C19">
        <f>$F$4</f>
        <v/>
      </c>
      <c r="D19">
        <f>SUMPRODUCT($C$15:C19,--(ROW($C$15:C19)&gt;=ROW(C19)-$F$2+1))</f>
        <v/>
      </c>
      <c r="E19" s="6">
        <f>D19*5000</f>
        <v/>
      </c>
      <c r="F19" t="n">
        <v>1</v>
      </c>
      <c r="G19" s="6">
        <f>F19*7500</f>
        <v/>
      </c>
      <c r="H19" t="n">
        <v>0</v>
      </c>
      <c r="I19" s="6">
        <f>H19*25000</f>
        <v/>
      </c>
      <c r="J19" s="7">
        <f>D19*2*1.5</f>
        <v/>
      </c>
      <c r="K19" s="7">
        <f>F19*4</f>
        <v/>
      </c>
      <c r="L19" s="7">
        <f>H19*17</f>
        <v/>
      </c>
      <c r="M19" s="7">
        <f>J19+K19+L19</f>
        <v/>
      </c>
      <c r="N19" s="7">
        <f>M19/8</f>
        <v/>
      </c>
      <c r="O19" s="6">
        <f>E19+G19+I19+Q19</f>
        <v/>
      </c>
      <c r="P19" t="n">
        <v>0</v>
      </c>
      <c r="Q19" s="6">
        <f>P19*$F$5</f>
        <v/>
      </c>
    </row>
    <row r="20">
      <c r="A20" t="n">
        <v>2026</v>
      </c>
      <c r="B20" t="inlineStr">
        <is>
          <t>Jun</t>
        </is>
      </c>
      <c r="C20">
        <f>$F$4</f>
        <v/>
      </c>
      <c r="D20">
        <f>SUMPRODUCT($C$15:C20,--(ROW($C$15:C20)&gt;=ROW(C20)-$F$2+1))</f>
        <v/>
      </c>
      <c r="E20" s="6">
        <f>D20*5000</f>
        <v/>
      </c>
      <c r="F20" t="n">
        <v>2</v>
      </c>
      <c r="G20" s="6">
        <f>F20*7500</f>
        <v/>
      </c>
      <c r="H20" t="n">
        <v>0</v>
      </c>
      <c r="I20" s="6">
        <f>H20*25000</f>
        <v/>
      </c>
      <c r="J20" s="7">
        <f>D20*2*1.5</f>
        <v/>
      </c>
      <c r="K20" s="7">
        <f>F20*4</f>
        <v/>
      </c>
      <c r="L20" s="7">
        <f>H20*17</f>
        <v/>
      </c>
      <c r="M20" s="7">
        <f>J20+K20+L20</f>
        <v/>
      </c>
      <c r="N20" s="7">
        <f>M20/8</f>
        <v/>
      </c>
      <c r="O20" s="6">
        <f>E20+G20+I20+Q20</f>
        <v/>
      </c>
      <c r="P20" t="n">
        <v>0</v>
      </c>
      <c r="Q20" s="6">
        <f>P20*$F$5</f>
        <v/>
      </c>
    </row>
    <row r="21">
      <c r="A21" t="n">
        <v>2026</v>
      </c>
      <c r="B21" t="inlineStr">
        <is>
          <t>Jul</t>
        </is>
      </c>
      <c r="C21">
        <f>$F$4</f>
        <v/>
      </c>
      <c r="D21">
        <f>SUMPRODUCT($C$15:C21,--(ROW($C$15:C21)&gt;=ROW(C21)-$F$2+1))</f>
        <v/>
      </c>
      <c r="E21" s="6">
        <f>D21*5000</f>
        <v/>
      </c>
      <c r="F21" t="n">
        <v>1</v>
      </c>
      <c r="G21" s="6">
        <f>F21*7500</f>
        <v/>
      </c>
      <c r="H21" t="n">
        <v>1</v>
      </c>
      <c r="I21" s="6">
        <f>H21*25000</f>
        <v/>
      </c>
      <c r="J21" s="7">
        <f>D21*2*1.5</f>
        <v/>
      </c>
      <c r="K21" s="7">
        <f>F21*4</f>
        <v/>
      </c>
      <c r="L21" s="7">
        <f>H21*17</f>
        <v/>
      </c>
      <c r="M21" s="7">
        <f>J21+K21+L21</f>
        <v/>
      </c>
      <c r="N21" s="7">
        <f>M21/8</f>
        <v/>
      </c>
      <c r="O21" s="6">
        <f>E21+G21+I21+Q21</f>
        <v/>
      </c>
      <c r="P21" t="n">
        <v>0</v>
      </c>
      <c r="Q21" s="6">
        <f>P21*$F$5</f>
        <v/>
      </c>
    </row>
    <row r="22">
      <c r="A22" t="n">
        <v>2026</v>
      </c>
      <c r="B22" t="inlineStr">
        <is>
          <t>Aug</t>
        </is>
      </c>
      <c r="C22">
        <f>$F$4</f>
        <v/>
      </c>
      <c r="D22">
        <f>SUMPRODUCT($C$15:C22,--(ROW($C$15:C22)&gt;=ROW(C22)-$F$2+1))</f>
        <v/>
      </c>
      <c r="E22" s="6">
        <f>D22*5000</f>
        <v/>
      </c>
      <c r="F22" t="n">
        <v>1</v>
      </c>
      <c r="G22" s="6">
        <f>F22*7500</f>
        <v/>
      </c>
      <c r="H22" t="n">
        <v>0</v>
      </c>
      <c r="I22" s="6">
        <f>H22*25000</f>
        <v/>
      </c>
      <c r="J22" s="7">
        <f>D22*2*1.5</f>
        <v/>
      </c>
      <c r="K22" s="7">
        <f>F22*4</f>
        <v/>
      </c>
      <c r="L22" s="7">
        <f>H22*17</f>
        <v/>
      </c>
      <c r="M22" s="7">
        <f>J22+K22+L22</f>
        <v/>
      </c>
      <c r="N22" s="7">
        <f>M22/8</f>
        <v/>
      </c>
      <c r="O22" s="6">
        <f>E22+G22+I22+Q22</f>
        <v/>
      </c>
      <c r="P22" t="n">
        <v>0</v>
      </c>
      <c r="Q22" s="6">
        <f>P22*$F$5</f>
        <v/>
      </c>
    </row>
    <row r="23">
      <c r="A23" t="n">
        <v>2026</v>
      </c>
      <c r="B23" t="inlineStr">
        <is>
          <t>Sep</t>
        </is>
      </c>
      <c r="C23">
        <f>$F$4</f>
        <v/>
      </c>
      <c r="D23">
        <f>SUMPRODUCT($C$15:C23,--(ROW($C$15:C23)&gt;=ROW(C23)-$F$2+1))</f>
        <v/>
      </c>
      <c r="E23" s="6">
        <f>D23*5000</f>
        <v/>
      </c>
      <c r="F23" t="n">
        <v>2</v>
      </c>
      <c r="G23" s="6">
        <f>F23*7500</f>
        <v/>
      </c>
      <c r="H23" t="n">
        <v>0</v>
      </c>
      <c r="I23" s="6">
        <f>H23*25000</f>
        <v/>
      </c>
      <c r="J23" s="7">
        <f>D23*2*1.5</f>
        <v/>
      </c>
      <c r="K23" s="7">
        <f>F23*4</f>
        <v/>
      </c>
      <c r="L23" s="7">
        <f>H23*17</f>
        <v/>
      </c>
      <c r="M23" s="7">
        <f>J23+K23+L23</f>
        <v/>
      </c>
      <c r="N23" s="7">
        <f>M23/8</f>
        <v/>
      </c>
      <c r="O23" s="6">
        <f>E23+G23+I23+Q23</f>
        <v/>
      </c>
      <c r="P23" t="n">
        <v>0</v>
      </c>
      <c r="Q23" s="6">
        <f>P23*$F$5</f>
        <v/>
      </c>
    </row>
    <row r="24">
      <c r="A24" t="n">
        <v>2026</v>
      </c>
      <c r="B24" t="inlineStr">
        <is>
          <t>Oct</t>
        </is>
      </c>
      <c r="C24">
        <f>$F$4</f>
        <v/>
      </c>
      <c r="D24">
        <f>SUMPRODUCT($C$15:C24,--(ROW($C$15:C24)&gt;=ROW(C24)-$F$2+1))</f>
        <v/>
      </c>
      <c r="E24" s="6">
        <f>D24*5000</f>
        <v/>
      </c>
      <c r="F24" t="n">
        <v>1</v>
      </c>
      <c r="G24" s="6">
        <f>F24*7500</f>
        <v/>
      </c>
      <c r="H24" t="n">
        <v>1</v>
      </c>
      <c r="I24" s="6">
        <f>H24*25000</f>
        <v/>
      </c>
      <c r="J24" s="7">
        <f>D24*2*1.5</f>
        <v/>
      </c>
      <c r="K24" s="7">
        <f>F24*4</f>
        <v/>
      </c>
      <c r="L24" s="7">
        <f>H24*17</f>
        <v/>
      </c>
      <c r="M24" s="7">
        <f>J24+K24+L24</f>
        <v/>
      </c>
      <c r="N24" s="7">
        <f>M24/8</f>
        <v/>
      </c>
      <c r="O24" s="6">
        <f>E24+G24+I24+Q24</f>
        <v/>
      </c>
      <c r="P24" t="n">
        <v>0</v>
      </c>
      <c r="Q24" s="6">
        <f>P24*$F$5</f>
        <v/>
      </c>
    </row>
    <row r="25">
      <c r="A25" t="n">
        <v>2026</v>
      </c>
      <c r="B25" t="inlineStr">
        <is>
          <t>Nov</t>
        </is>
      </c>
      <c r="C25">
        <f>$F$4</f>
        <v/>
      </c>
      <c r="D25">
        <f>SUMPRODUCT($C$15:C25,--(ROW($C$15:C25)&gt;=ROW(C25)-$F$2+1))</f>
        <v/>
      </c>
      <c r="E25" s="6">
        <f>D25*5000</f>
        <v/>
      </c>
      <c r="F25" t="n">
        <v>1</v>
      </c>
      <c r="G25" s="6">
        <f>F25*7500</f>
        <v/>
      </c>
      <c r="H25" t="n">
        <v>0</v>
      </c>
      <c r="I25" s="6">
        <f>H25*25000</f>
        <v/>
      </c>
      <c r="J25" s="7">
        <f>D25*2*1.5</f>
        <v/>
      </c>
      <c r="K25" s="7">
        <f>F25*4</f>
        <v/>
      </c>
      <c r="L25" s="7">
        <f>H25*17</f>
        <v/>
      </c>
      <c r="M25" s="7">
        <f>J25+K25+L25</f>
        <v/>
      </c>
      <c r="N25" s="7">
        <f>M25/8</f>
        <v/>
      </c>
      <c r="O25" s="6">
        <f>E25+G25+I25+Q25</f>
        <v/>
      </c>
      <c r="P25" t="n">
        <v>0</v>
      </c>
      <c r="Q25" s="6">
        <f>P25*$F$5</f>
        <v/>
      </c>
    </row>
    <row r="26">
      <c r="A26" t="n">
        <v>2026</v>
      </c>
      <c r="B26" t="inlineStr">
        <is>
          <t>Dec</t>
        </is>
      </c>
      <c r="C26">
        <f>$F$4</f>
        <v/>
      </c>
      <c r="D26">
        <f>SUMPRODUCT($C$15:C26,--(ROW($C$15:C26)&gt;=ROW(C26)-$F$2+1))</f>
        <v/>
      </c>
      <c r="E26" s="6">
        <f>D26*5000</f>
        <v/>
      </c>
      <c r="F26" t="n">
        <v>2</v>
      </c>
      <c r="G26" s="6">
        <f>F26*7500</f>
        <v/>
      </c>
      <c r="H26" t="n">
        <v>0</v>
      </c>
      <c r="I26" s="6">
        <f>H26*25000</f>
        <v/>
      </c>
      <c r="J26" s="7">
        <f>D26*2*1.5</f>
        <v/>
      </c>
      <c r="K26" s="7">
        <f>F26*4</f>
        <v/>
      </c>
      <c r="L26" s="7">
        <f>H26*17</f>
        <v/>
      </c>
      <c r="M26" s="7">
        <f>J26+K26+L26</f>
        <v/>
      </c>
      <c r="N26" s="7">
        <f>M26/8</f>
        <v/>
      </c>
      <c r="O26" s="6">
        <f>E26+G26+I26+Q26</f>
        <v/>
      </c>
      <c r="P26" t="n">
        <v>0</v>
      </c>
      <c r="Q26" s="6">
        <f>P26*$F$5</f>
        <v/>
      </c>
    </row>
    <row r="27">
      <c r="A27" t="n">
        <v>2027</v>
      </c>
      <c r="B27" t="inlineStr">
        <is>
          <t>Jan</t>
        </is>
      </c>
      <c r="C27">
        <f>$F$4</f>
        <v/>
      </c>
      <c r="D27">
        <f>SUMPRODUCT($C$15:C27,--(ROW($C$15:C27)&gt;=ROW(C27)-$F$2+1))</f>
        <v/>
      </c>
      <c r="E27" s="6">
        <f>D27*5000</f>
        <v/>
      </c>
      <c r="F27" t="n">
        <v>1</v>
      </c>
      <c r="G27" s="6">
        <f>F27*7500</f>
        <v/>
      </c>
      <c r="H27" t="n">
        <v>1</v>
      </c>
      <c r="I27" s="6">
        <f>H27*25000</f>
        <v/>
      </c>
      <c r="J27" s="7">
        <f>D27*2*1.5</f>
        <v/>
      </c>
      <c r="K27" s="7">
        <f>F27*4</f>
        <v/>
      </c>
      <c r="L27" s="7">
        <f>H27*17</f>
        <v/>
      </c>
      <c r="M27" s="7">
        <f>J27+K27+L27</f>
        <v/>
      </c>
      <c r="N27" s="7">
        <f>M27/8</f>
        <v/>
      </c>
      <c r="O27" s="6">
        <f>E27+G27+I27+Q27</f>
        <v/>
      </c>
      <c r="P27" t="n">
        <v>0</v>
      </c>
      <c r="Q27" s="6">
        <f>P27*$F$5</f>
        <v/>
      </c>
    </row>
    <row r="28">
      <c r="A28" t="n">
        <v>2027</v>
      </c>
      <c r="B28" t="inlineStr">
        <is>
          <t>Feb</t>
        </is>
      </c>
      <c r="C28">
        <f>$F$4</f>
        <v/>
      </c>
      <c r="D28">
        <f>SUMPRODUCT($C$15:C28,--(ROW($C$15:C28)&gt;=ROW(C28)-$F$2+1))</f>
        <v/>
      </c>
      <c r="E28" s="6">
        <f>D28*5000</f>
        <v/>
      </c>
      <c r="F28" t="n">
        <v>1</v>
      </c>
      <c r="G28" s="6">
        <f>F28*7500</f>
        <v/>
      </c>
      <c r="H28" t="n">
        <v>0</v>
      </c>
      <c r="I28" s="6">
        <f>H28*25000</f>
        <v/>
      </c>
      <c r="J28" s="7">
        <f>D28*2*1.5</f>
        <v/>
      </c>
      <c r="K28" s="7">
        <f>F28*4</f>
        <v/>
      </c>
      <c r="L28" s="7">
        <f>H28*17</f>
        <v/>
      </c>
      <c r="M28" s="7">
        <f>J28+K28+L28</f>
        <v/>
      </c>
      <c r="N28" s="7">
        <f>M28/8</f>
        <v/>
      </c>
      <c r="O28" s="6">
        <f>E28+G28+I28+Q28</f>
        <v/>
      </c>
      <c r="P28" t="n">
        <v>0</v>
      </c>
      <c r="Q28" s="6">
        <f>P28*$F$5</f>
        <v/>
      </c>
    </row>
    <row r="29">
      <c r="A29" t="n">
        <v>2027</v>
      </c>
      <c r="B29" t="inlineStr">
        <is>
          <t>Mar</t>
        </is>
      </c>
      <c r="C29">
        <f>$F$4</f>
        <v/>
      </c>
      <c r="D29">
        <f>SUMPRODUCT($C$15:C29,--(ROW($C$15:C29)&gt;=ROW(C29)-$F$2+1))</f>
        <v/>
      </c>
      <c r="E29" s="6">
        <f>D29*5000</f>
        <v/>
      </c>
      <c r="F29" t="n">
        <v>2</v>
      </c>
      <c r="G29" s="6">
        <f>F29*7500</f>
        <v/>
      </c>
      <c r="H29" t="n">
        <v>0</v>
      </c>
      <c r="I29" s="6">
        <f>H29*25000</f>
        <v/>
      </c>
      <c r="J29" s="7">
        <f>D29*2*1.5</f>
        <v/>
      </c>
      <c r="K29" s="7">
        <f>F29*4</f>
        <v/>
      </c>
      <c r="L29" s="7">
        <f>H29*17</f>
        <v/>
      </c>
      <c r="M29" s="7">
        <f>J29+K29+L29</f>
        <v/>
      </c>
      <c r="N29" s="7">
        <f>M29/8</f>
        <v/>
      </c>
      <c r="O29" s="6">
        <f>E29+G29+I29+Q29</f>
        <v/>
      </c>
      <c r="P29" t="n">
        <v>0</v>
      </c>
      <c r="Q29" s="6">
        <f>P29*$F$5</f>
        <v/>
      </c>
    </row>
    <row r="30">
      <c r="A30" t="n">
        <v>2027</v>
      </c>
      <c r="B30" t="inlineStr">
        <is>
          <t>Apr</t>
        </is>
      </c>
      <c r="C30">
        <f>$F$4</f>
        <v/>
      </c>
      <c r="D30">
        <f>SUMPRODUCT($C$15:C30,--(ROW($C$15:C30)&gt;=ROW(C30)-$F$2+1))</f>
        <v/>
      </c>
      <c r="E30" s="6">
        <f>D30*5000</f>
        <v/>
      </c>
      <c r="F30" t="n">
        <v>1</v>
      </c>
      <c r="G30" s="6">
        <f>F30*7500</f>
        <v/>
      </c>
      <c r="H30" t="n">
        <v>1</v>
      </c>
      <c r="I30" s="6">
        <f>H30*25000</f>
        <v/>
      </c>
      <c r="J30" s="7">
        <f>D30*2*1.5</f>
        <v/>
      </c>
      <c r="K30" s="7">
        <f>F30*4</f>
        <v/>
      </c>
      <c r="L30" s="7">
        <f>H30*17</f>
        <v/>
      </c>
      <c r="M30" s="7">
        <f>J30+K30+L30</f>
        <v/>
      </c>
      <c r="N30" s="7">
        <f>M30/8</f>
        <v/>
      </c>
      <c r="O30" s="6">
        <f>E30+G30+I30+Q30</f>
        <v/>
      </c>
      <c r="P30" t="n">
        <v>0</v>
      </c>
      <c r="Q30" s="6">
        <f>P30*$F$5</f>
        <v/>
      </c>
    </row>
    <row r="31">
      <c r="A31" t="n">
        <v>2027</v>
      </c>
      <c r="B31" t="inlineStr">
        <is>
          <t>May</t>
        </is>
      </c>
      <c r="C31">
        <f>$F$4</f>
        <v/>
      </c>
      <c r="D31">
        <f>SUMPRODUCT($C$15:C31,--(ROW($C$15:C31)&gt;=ROW(C31)-$F$2+1))</f>
        <v/>
      </c>
      <c r="E31" s="6">
        <f>D31*5000</f>
        <v/>
      </c>
      <c r="F31" t="n">
        <v>1</v>
      </c>
      <c r="G31" s="6">
        <f>F31*7500</f>
        <v/>
      </c>
      <c r="H31" t="n">
        <v>0</v>
      </c>
      <c r="I31" s="6">
        <f>H31*25000</f>
        <v/>
      </c>
      <c r="J31" s="7">
        <f>D31*2*1.5</f>
        <v/>
      </c>
      <c r="K31" s="7">
        <f>F31*4</f>
        <v/>
      </c>
      <c r="L31" s="7">
        <f>H31*17</f>
        <v/>
      </c>
      <c r="M31" s="7">
        <f>J31+K31+L31</f>
        <v/>
      </c>
      <c r="N31" s="7">
        <f>M31/8</f>
        <v/>
      </c>
      <c r="O31" s="6">
        <f>E31+G31+I31+Q31</f>
        <v/>
      </c>
      <c r="P31" t="n">
        <v>0</v>
      </c>
      <c r="Q31" s="6">
        <f>P31*$F$5</f>
        <v/>
      </c>
    </row>
    <row r="32">
      <c r="A32" t="n">
        <v>2027</v>
      </c>
      <c r="B32" t="inlineStr">
        <is>
          <t>Jun</t>
        </is>
      </c>
      <c r="C32">
        <f>$F$4</f>
        <v/>
      </c>
      <c r="D32">
        <f>SUMPRODUCT($C$15:C32,--(ROW($C$15:C32)&gt;=ROW(C32)-$F$2+1))</f>
        <v/>
      </c>
      <c r="E32" s="6">
        <f>D32*5000</f>
        <v/>
      </c>
      <c r="F32" t="n">
        <v>2</v>
      </c>
      <c r="G32" s="6">
        <f>F32*7500</f>
        <v/>
      </c>
      <c r="H32" t="n">
        <v>0</v>
      </c>
      <c r="I32" s="6">
        <f>H32*25000</f>
        <v/>
      </c>
      <c r="J32" s="7">
        <f>D32*2*1.5</f>
        <v/>
      </c>
      <c r="K32" s="7">
        <f>F32*4</f>
        <v/>
      </c>
      <c r="L32" s="7">
        <f>H32*17</f>
        <v/>
      </c>
      <c r="M32" s="7">
        <f>J32+K32+L32</f>
        <v/>
      </c>
      <c r="N32" s="7">
        <f>M32/8</f>
        <v/>
      </c>
      <c r="O32" s="6">
        <f>E32+G32+I32+Q32</f>
        <v/>
      </c>
      <c r="P32" t="n">
        <v>0</v>
      </c>
      <c r="Q32" s="6">
        <f>P32*$F$5</f>
        <v/>
      </c>
    </row>
    <row r="33">
      <c r="A33" t="n">
        <v>2027</v>
      </c>
      <c r="B33" t="inlineStr">
        <is>
          <t>Jul</t>
        </is>
      </c>
      <c r="C33">
        <f>$F$4</f>
        <v/>
      </c>
      <c r="D33">
        <f>SUMPRODUCT($C$15:C33,--(ROW($C$15:C33)&gt;=ROW(C33)-$F$2+1))</f>
        <v/>
      </c>
      <c r="E33" s="6">
        <f>D33*5000</f>
        <v/>
      </c>
      <c r="F33" t="n">
        <v>1</v>
      </c>
      <c r="G33" s="6">
        <f>F33*7500</f>
        <v/>
      </c>
      <c r="H33" t="n">
        <v>1</v>
      </c>
      <c r="I33" s="6">
        <f>H33*25000</f>
        <v/>
      </c>
      <c r="J33" s="7">
        <f>D33*2*1.5</f>
        <v/>
      </c>
      <c r="K33" s="7">
        <f>F33*4</f>
        <v/>
      </c>
      <c r="L33" s="7">
        <f>H33*17</f>
        <v/>
      </c>
      <c r="M33" s="7">
        <f>J33+K33+L33</f>
        <v/>
      </c>
      <c r="N33" s="7">
        <f>M33/8</f>
        <v/>
      </c>
      <c r="O33" s="6">
        <f>E33+G33+I33+Q33</f>
        <v/>
      </c>
      <c r="P33" t="n">
        <v>0</v>
      </c>
      <c r="Q33" s="6">
        <f>P33*$F$5</f>
        <v/>
      </c>
    </row>
    <row r="34">
      <c r="A34" t="n">
        <v>2027</v>
      </c>
      <c r="B34" t="inlineStr">
        <is>
          <t>Aug</t>
        </is>
      </c>
      <c r="C34">
        <f>$F$4</f>
        <v/>
      </c>
      <c r="D34">
        <f>SUMPRODUCT($C$15:C34,--(ROW($C$15:C34)&gt;=ROW(C34)-$F$2+1))</f>
        <v/>
      </c>
      <c r="E34" s="6">
        <f>D34*5000</f>
        <v/>
      </c>
      <c r="F34" t="n">
        <v>1</v>
      </c>
      <c r="G34" s="6">
        <f>F34*7500</f>
        <v/>
      </c>
      <c r="H34" t="n">
        <v>0</v>
      </c>
      <c r="I34" s="6">
        <f>H34*25000</f>
        <v/>
      </c>
      <c r="J34" s="7">
        <f>D34*2*1.5</f>
        <v/>
      </c>
      <c r="K34" s="7">
        <f>F34*4</f>
        <v/>
      </c>
      <c r="L34" s="7">
        <f>H34*17</f>
        <v/>
      </c>
      <c r="M34" s="7">
        <f>J34+K34+L34</f>
        <v/>
      </c>
      <c r="N34" s="7">
        <f>M34/8</f>
        <v/>
      </c>
      <c r="O34" s="6">
        <f>E34+G34+I34+Q34</f>
        <v/>
      </c>
      <c r="P34" t="n">
        <v>0</v>
      </c>
      <c r="Q34" s="6">
        <f>P34*$F$5</f>
        <v/>
      </c>
    </row>
    <row r="35">
      <c r="A35" t="n">
        <v>2027</v>
      </c>
      <c r="B35" t="inlineStr">
        <is>
          <t>Sep</t>
        </is>
      </c>
      <c r="C35">
        <f>$F$4</f>
        <v/>
      </c>
      <c r="D35">
        <f>SUMPRODUCT($C$15:C35,--(ROW($C$15:C35)&gt;=ROW(C35)-$F$2+1))</f>
        <v/>
      </c>
      <c r="E35" s="6">
        <f>D35*5000</f>
        <v/>
      </c>
      <c r="F35" t="n">
        <v>2</v>
      </c>
      <c r="G35" s="6">
        <f>F35*7500</f>
        <v/>
      </c>
      <c r="H35" t="n">
        <v>0</v>
      </c>
      <c r="I35" s="6">
        <f>H35*25000</f>
        <v/>
      </c>
      <c r="J35" s="7">
        <f>D35*2*1.5</f>
        <v/>
      </c>
      <c r="K35" s="7">
        <f>F35*4</f>
        <v/>
      </c>
      <c r="L35" s="7">
        <f>H35*17</f>
        <v/>
      </c>
      <c r="M35" s="7">
        <f>J35+K35+L35</f>
        <v/>
      </c>
      <c r="N35" s="7">
        <f>M35/8</f>
        <v/>
      </c>
      <c r="O35" s="6">
        <f>E35+G35+I35+Q35</f>
        <v/>
      </c>
      <c r="P35" t="n">
        <v>0</v>
      </c>
      <c r="Q35" s="6">
        <f>P35*$F$5</f>
        <v/>
      </c>
    </row>
    <row r="36">
      <c r="A36" t="n">
        <v>2027</v>
      </c>
      <c r="B36" t="inlineStr">
        <is>
          <t>Oct</t>
        </is>
      </c>
      <c r="C36">
        <f>$F$4</f>
        <v/>
      </c>
      <c r="D36">
        <f>SUMPRODUCT($C$15:C36,--(ROW($C$15:C36)&gt;=ROW(C36)-$F$2+1))</f>
        <v/>
      </c>
      <c r="E36" s="6">
        <f>D36*5000</f>
        <v/>
      </c>
      <c r="F36" t="n">
        <v>1</v>
      </c>
      <c r="G36" s="6">
        <f>F36*7500</f>
        <v/>
      </c>
      <c r="H36" t="n">
        <v>1</v>
      </c>
      <c r="I36" s="6">
        <f>H36*25000</f>
        <v/>
      </c>
      <c r="J36" s="7">
        <f>D36*2*1.5</f>
        <v/>
      </c>
      <c r="K36" s="7">
        <f>F36*4</f>
        <v/>
      </c>
      <c r="L36" s="7">
        <f>H36*17</f>
        <v/>
      </c>
      <c r="M36" s="7">
        <f>J36+K36+L36</f>
        <v/>
      </c>
      <c r="N36" s="7">
        <f>M36/8</f>
        <v/>
      </c>
      <c r="O36" s="6">
        <f>E36+G36+I36+Q36</f>
        <v/>
      </c>
      <c r="P36" t="n">
        <v>0</v>
      </c>
      <c r="Q36" s="6">
        <f>P36*$F$5</f>
        <v/>
      </c>
    </row>
    <row r="37">
      <c r="A37" t="n">
        <v>2027</v>
      </c>
      <c r="B37" t="inlineStr">
        <is>
          <t>Nov</t>
        </is>
      </c>
      <c r="C37">
        <f>$F$4</f>
        <v/>
      </c>
      <c r="D37">
        <f>SUMPRODUCT($C$15:C37,--(ROW($C$15:C37)&gt;=ROW(C37)-$F$2+1))</f>
        <v/>
      </c>
      <c r="E37" s="6">
        <f>D37*5000</f>
        <v/>
      </c>
      <c r="F37" t="n">
        <v>1</v>
      </c>
      <c r="G37" s="6">
        <f>F37*7500</f>
        <v/>
      </c>
      <c r="H37" t="n">
        <v>0</v>
      </c>
      <c r="I37" s="6">
        <f>H37*25000</f>
        <v/>
      </c>
      <c r="J37" s="7">
        <f>D37*2*1.5</f>
        <v/>
      </c>
      <c r="K37" s="7">
        <f>F37*4</f>
        <v/>
      </c>
      <c r="L37" s="7">
        <f>H37*17</f>
        <v/>
      </c>
      <c r="M37" s="7">
        <f>J37+K37+L37</f>
        <v/>
      </c>
      <c r="N37" s="7">
        <f>M37/8</f>
        <v/>
      </c>
      <c r="O37" s="6">
        <f>E37+G37+I37+Q37</f>
        <v/>
      </c>
      <c r="P37" t="n">
        <v>0</v>
      </c>
      <c r="Q37" s="6">
        <f>P37*$F$5</f>
        <v/>
      </c>
    </row>
    <row r="38">
      <c r="A38" t="n">
        <v>2027</v>
      </c>
      <c r="B38" t="inlineStr">
        <is>
          <t>Dec</t>
        </is>
      </c>
      <c r="C38">
        <f>$F$4</f>
        <v/>
      </c>
      <c r="D38">
        <f>SUMPRODUCT($C$15:C38,--(ROW($C$15:C38)&gt;=ROW(C38)-$F$2+1))</f>
        <v/>
      </c>
      <c r="E38" s="6">
        <f>D38*5000</f>
        <v/>
      </c>
      <c r="F38" t="n">
        <v>2</v>
      </c>
      <c r="G38" s="6">
        <f>F38*7500</f>
        <v/>
      </c>
      <c r="H38" t="n">
        <v>0</v>
      </c>
      <c r="I38" s="6">
        <f>H38*25000</f>
        <v/>
      </c>
      <c r="J38" s="7">
        <f>D38*2*1.5</f>
        <v/>
      </c>
      <c r="K38" s="7">
        <f>F38*4</f>
        <v/>
      </c>
      <c r="L38" s="7">
        <f>H38*17</f>
        <v/>
      </c>
      <c r="M38" s="7">
        <f>J38+K38+L38</f>
        <v/>
      </c>
      <c r="N38" s="7">
        <f>M38/8</f>
        <v/>
      </c>
      <c r="O38" s="6">
        <f>E38+G38+I38+Q38</f>
        <v/>
      </c>
      <c r="P38" t="n">
        <v>0</v>
      </c>
      <c r="Q38" s="6">
        <f>P38*$F$5</f>
        <v/>
      </c>
    </row>
    <row r="39">
      <c r="A39" t="n">
        <v>2028</v>
      </c>
      <c r="B39" t="inlineStr">
        <is>
          <t>Jan</t>
        </is>
      </c>
      <c r="C39">
        <f>$F$4</f>
        <v/>
      </c>
      <c r="D39">
        <f>SUMPRODUCT($C$15:C39,--(ROW($C$15:C39)&gt;=ROW(C39)-$F$2+1))</f>
        <v/>
      </c>
      <c r="E39" s="6">
        <f>D39*5000</f>
        <v/>
      </c>
      <c r="F39" t="n">
        <v>1</v>
      </c>
      <c r="G39" s="6">
        <f>F39*7500</f>
        <v/>
      </c>
      <c r="H39" t="n">
        <v>1</v>
      </c>
      <c r="I39" s="6">
        <f>H39*25000</f>
        <v/>
      </c>
      <c r="J39" s="7">
        <f>D39*2*1.5</f>
        <v/>
      </c>
      <c r="K39" s="7">
        <f>F39*4</f>
        <v/>
      </c>
      <c r="L39" s="7">
        <f>H39*17</f>
        <v/>
      </c>
      <c r="M39" s="7">
        <f>J39+K39+L39</f>
        <v/>
      </c>
      <c r="N39" s="7">
        <f>M39/8</f>
        <v/>
      </c>
      <c r="O39" s="6">
        <f>E39+G39+I39+Q39</f>
        <v/>
      </c>
      <c r="P39" t="n">
        <v>0</v>
      </c>
      <c r="Q39" s="6">
        <f>P39*$F$5</f>
        <v/>
      </c>
    </row>
    <row r="40">
      <c r="A40" t="n">
        <v>2028</v>
      </c>
      <c r="B40" t="inlineStr">
        <is>
          <t>Feb</t>
        </is>
      </c>
      <c r="C40">
        <f>$F$4</f>
        <v/>
      </c>
      <c r="D40">
        <f>SUMPRODUCT($C$15:C40,--(ROW($C$15:C40)&gt;=ROW(C40)-$F$2+1))</f>
        <v/>
      </c>
      <c r="E40" s="6">
        <f>D40*5000</f>
        <v/>
      </c>
      <c r="F40" t="n">
        <v>1</v>
      </c>
      <c r="G40" s="6">
        <f>F40*7500</f>
        <v/>
      </c>
      <c r="H40" t="n">
        <v>0</v>
      </c>
      <c r="I40" s="6">
        <f>H40*25000</f>
        <v/>
      </c>
      <c r="J40" s="7">
        <f>D40*2*1.5</f>
        <v/>
      </c>
      <c r="K40" s="7">
        <f>F40*4</f>
        <v/>
      </c>
      <c r="L40" s="7">
        <f>H40*17</f>
        <v/>
      </c>
      <c r="M40" s="7">
        <f>J40+K40+L40</f>
        <v/>
      </c>
      <c r="N40" s="7">
        <f>M40/8</f>
        <v/>
      </c>
      <c r="O40" s="6">
        <f>E40+G40+I40+Q40</f>
        <v/>
      </c>
      <c r="P40" t="n">
        <v>0</v>
      </c>
      <c r="Q40" s="6">
        <f>P40*$F$5</f>
        <v/>
      </c>
    </row>
    <row r="41">
      <c r="A41" t="n">
        <v>2028</v>
      </c>
      <c r="B41" t="inlineStr">
        <is>
          <t>Mar</t>
        </is>
      </c>
      <c r="C41">
        <f>$F$4</f>
        <v/>
      </c>
      <c r="D41">
        <f>SUMPRODUCT($C$15:C41,--(ROW($C$15:C41)&gt;=ROW(C41)-$F$2+1))</f>
        <v/>
      </c>
      <c r="E41" s="6">
        <f>D41*5000</f>
        <v/>
      </c>
      <c r="F41" t="n">
        <v>2</v>
      </c>
      <c r="G41" s="6">
        <f>F41*7500</f>
        <v/>
      </c>
      <c r="H41" t="n">
        <v>0</v>
      </c>
      <c r="I41" s="6">
        <f>H41*25000</f>
        <v/>
      </c>
      <c r="J41" s="7">
        <f>D41*2*1.5</f>
        <v/>
      </c>
      <c r="K41" s="7">
        <f>F41*4</f>
        <v/>
      </c>
      <c r="L41" s="7">
        <f>H41*17</f>
        <v/>
      </c>
      <c r="M41" s="7">
        <f>J41+K41+L41</f>
        <v/>
      </c>
      <c r="N41" s="7">
        <f>M41/8</f>
        <v/>
      </c>
      <c r="O41" s="6">
        <f>E41+G41+I41+Q41</f>
        <v/>
      </c>
      <c r="P41" t="n">
        <v>0</v>
      </c>
      <c r="Q41" s="6">
        <f>P41*$F$5</f>
        <v/>
      </c>
    </row>
    <row r="42">
      <c r="A42" t="n">
        <v>2028</v>
      </c>
      <c r="B42" t="inlineStr">
        <is>
          <t>Apr</t>
        </is>
      </c>
      <c r="C42">
        <f>$F$4</f>
        <v/>
      </c>
      <c r="D42">
        <f>SUMPRODUCT($C$15:C42,--(ROW($C$15:C42)&gt;=ROW(C42)-$F$2+1))</f>
        <v/>
      </c>
      <c r="E42" s="6">
        <f>D42*5000</f>
        <v/>
      </c>
      <c r="F42" t="n">
        <v>1</v>
      </c>
      <c r="G42" s="6">
        <f>F42*7500</f>
        <v/>
      </c>
      <c r="H42" t="n">
        <v>1</v>
      </c>
      <c r="I42" s="6">
        <f>H42*25000</f>
        <v/>
      </c>
      <c r="J42" s="7">
        <f>D42*2*1.5</f>
        <v/>
      </c>
      <c r="K42" s="7">
        <f>F42*4</f>
        <v/>
      </c>
      <c r="L42" s="7">
        <f>H42*17</f>
        <v/>
      </c>
      <c r="M42" s="7">
        <f>J42+K42+L42</f>
        <v/>
      </c>
      <c r="N42" s="7">
        <f>M42/8</f>
        <v/>
      </c>
      <c r="O42" s="6">
        <f>E42+G42+I42+Q42</f>
        <v/>
      </c>
      <c r="P42" t="n">
        <v>0</v>
      </c>
      <c r="Q42" s="6">
        <f>P42*$F$5</f>
        <v/>
      </c>
    </row>
    <row r="43">
      <c r="A43" t="n">
        <v>2028</v>
      </c>
      <c r="B43" t="inlineStr">
        <is>
          <t>May</t>
        </is>
      </c>
      <c r="C43">
        <f>$F$4</f>
        <v/>
      </c>
      <c r="D43">
        <f>SUMPRODUCT($C$15:C43,--(ROW($C$15:C43)&gt;=ROW(C43)-$F$2+1))</f>
        <v/>
      </c>
      <c r="E43" s="6">
        <f>D43*5000</f>
        <v/>
      </c>
      <c r="F43" t="n">
        <v>1</v>
      </c>
      <c r="G43" s="6">
        <f>F43*7500</f>
        <v/>
      </c>
      <c r="H43" t="n">
        <v>0</v>
      </c>
      <c r="I43" s="6">
        <f>H43*25000</f>
        <v/>
      </c>
      <c r="J43" s="7">
        <f>D43*2*1.5</f>
        <v/>
      </c>
      <c r="K43" s="7">
        <f>F43*4</f>
        <v/>
      </c>
      <c r="L43" s="7">
        <f>H43*17</f>
        <v/>
      </c>
      <c r="M43" s="7">
        <f>J43+K43+L43</f>
        <v/>
      </c>
      <c r="N43" s="7">
        <f>M43/8</f>
        <v/>
      </c>
      <c r="O43" s="6">
        <f>E43+G43+I43+Q43</f>
        <v/>
      </c>
      <c r="P43" t="n">
        <v>0</v>
      </c>
      <c r="Q43" s="6">
        <f>P43*$F$5</f>
        <v/>
      </c>
    </row>
    <row r="44">
      <c r="A44" t="n">
        <v>2028</v>
      </c>
      <c r="B44" t="inlineStr">
        <is>
          <t>Jun</t>
        </is>
      </c>
      <c r="C44">
        <f>$F$4</f>
        <v/>
      </c>
      <c r="D44">
        <f>SUMPRODUCT($C$15:C44,--(ROW($C$15:C44)&gt;=ROW(C44)-$F$2+1))</f>
        <v/>
      </c>
      <c r="E44" s="6">
        <f>D44*5000</f>
        <v/>
      </c>
      <c r="F44" t="n">
        <v>2</v>
      </c>
      <c r="G44" s="6">
        <f>F44*7500</f>
        <v/>
      </c>
      <c r="H44" t="n">
        <v>0</v>
      </c>
      <c r="I44" s="6">
        <f>H44*25000</f>
        <v/>
      </c>
      <c r="J44" s="7">
        <f>D44*2*1.5</f>
        <v/>
      </c>
      <c r="K44" s="7">
        <f>F44*4</f>
        <v/>
      </c>
      <c r="L44" s="7">
        <f>H44*17</f>
        <v/>
      </c>
      <c r="M44" s="7">
        <f>J44+K44+L44</f>
        <v/>
      </c>
      <c r="N44" s="7">
        <f>M44/8</f>
        <v/>
      </c>
      <c r="O44" s="6">
        <f>E44+G44+I44+Q44</f>
        <v/>
      </c>
      <c r="P44" t="n">
        <v>0</v>
      </c>
      <c r="Q44" s="6">
        <f>P44*$F$5</f>
        <v/>
      </c>
    </row>
    <row r="45">
      <c r="A45" t="n">
        <v>2028</v>
      </c>
      <c r="B45" t="inlineStr">
        <is>
          <t>Jul</t>
        </is>
      </c>
      <c r="C45">
        <f>$F$4</f>
        <v/>
      </c>
      <c r="D45">
        <f>SUMPRODUCT($C$15:C45,--(ROW($C$15:C45)&gt;=ROW(C45)-$F$2+1))</f>
        <v/>
      </c>
      <c r="E45" s="6">
        <f>D45*5000</f>
        <v/>
      </c>
      <c r="F45" t="n">
        <v>1</v>
      </c>
      <c r="G45" s="6">
        <f>F45*7500</f>
        <v/>
      </c>
      <c r="H45" t="n">
        <v>1</v>
      </c>
      <c r="I45" s="6">
        <f>H45*25000</f>
        <v/>
      </c>
      <c r="J45" s="7">
        <f>D45*2*1.5</f>
        <v/>
      </c>
      <c r="K45" s="7">
        <f>F45*4</f>
        <v/>
      </c>
      <c r="L45" s="7">
        <f>H45*17</f>
        <v/>
      </c>
      <c r="M45" s="7">
        <f>J45+K45+L45</f>
        <v/>
      </c>
      <c r="N45" s="7">
        <f>M45/8</f>
        <v/>
      </c>
      <c r="O45" s="6">
        <f>E45+G45+I45+Q45</f>
        <v/>
      </c>
      <c r="P45" t="n">
        <v>0</v>
      </c>
      <c r="Q45" s="6">
        <f>P45*$F$5</f>
        <v/>
      </c>
    </row>
    <row r="46">
      <c r="A46" t="n">
        <v>2028</v>
      </c>
      <c r="B46" t="inlineStr">
        <is>
          <t>Aug</t>
        </is>
      </c>
      <c r="C46">
        <f>$F$4</f>
        <v/>
      </c>
      <c r="D46">
        <f>SUMPRODUCT($C$15:C46,--(ROW($C$15:C46)&gt;=ROW(C46)-$F$2+1))</f>
        <v/>
      </c>
      <c r="E46" s="6">
        <f>D46*5000</f>
        <v/>
      </c>
      <c r="F46" t="n">
        <v>1</v>
      </c>
      <c r="G46" s="6">
        <f>F46*7500</f>
        <v/>
      </c>
      <c r="H46" t="n">
        <v>0</v>
      </c>
      <c r="I46" s="6">
        <f>H46*25000</f>
        <v/>
      </c>
      <c r="J46" s="7">
        <f>D46*2*1.5</f>
        <v/>
      </c>
      <c r="K46" s="7">
        <f>F46*4</f>
        <v/>
      </c>
      <c r="L46" s="7">
        <f>H46*17</f>
        <v/>
      </c>
      <c r="M46" s="7">
        <f>J46+K46+L46</f>
        <v/>
      </c>
      <c r="N46" s="7">
        <f>M46/8</f>
        <v/>
      </c>
      <c r="O46" s="6">
        <f>E46+G46+I46+Q46</f>
        <v/>
      </c>
      <c r="P46" t="n">
        <v>0</v>
      </c>
      <c r="Q46" s="6">
        <f>P46*$F$5</f>
        <v/>
      </c>
    </row>
    <row r="47">
      <c r="A47" t="n">
        <v>2028</v>
      </c>
      <c r="B47" t="inlineStr">
        <is>
          <t>Sep</t>
        </is>
      </c>
      <c r="C47">
        <f>$F$4</f>
        <v/>
      </c>
      <c r="D47">
        <f>SUMPRODUCT($C$15:C47,--(ROW($C$15:C47)&gt;=ROW(C47)-$F$2+1))</f>
        <v/>
      </c>
      <c r="E47" s="6">
        <f>D47*5000</f>
        <v/>
      </c>
      <c r="F47" t="n">
        <v>2</v>
      </c>
      <c r="G47" s="6">
        <f>F47*7500</f>
        <v/>
      </c>
      <c r="H47" t="n">
        <v>0</v>
      </c>
      <c r="I47" s="6">
        <f>H47*25000</f>
        <v/>
      </c>
      <c r="J47" s="7">
        <f>D47*2*1.5</f>
        <v/>
      </c>
      <c r="K47" s="7">
        <f>F47*4</f>
        <v/>
      </c>
      <c r="L47" s="7">
        <f>H47*17</f>
        <v/>
      </c>
      <c r="M47" s="7">
        <f>J47+K47+L47</f>
        <v/>
      </c>
      <c r="N47" s="7">
        <f>M47/8</f>
        <v/>
      </c>
      <c r="O47" s="6">
        <f>E47+G47+I47+Q47</f>
        <v/>
      </c>
      <c r="P47" t="n">
        <v>0</v>
      </c>
      <c r="Q47" s="6">
        <f>P47*$F$5</f>
        <v/>
      </c>
    </row>
    <row r="48">
      <c r="A48" t="n">
        <v>2028</v>
      </c>
      <c r="B48" t="inlineStr">
        <is>
          <t>Oct</t>
        </is>
      </c>
      <c r="C48">
        <f>$F$4</f>
        <v/>
      </c>
      <c r="D48">
        <f>SUMPRODUCT($C$15:C48,--(ROW($C$15:C48)&gt;=ROW(C48)-$F$2+1))</f>
        <v/>
      </c>
      <c r="E48" s="6">
        <f>D48*5000</f>
        <v/>
      </c>
      <c r="F48" t="n">
        <v>1</v>
      </c>
      <c r="G48" s="6">
        <f>F48*7500</f>
        <v/>
      </c>
      <c r="H48" t="n">
        <v>1</v>
      </c>
      <c r="I48" s="6">
        <f>H48*25000</f>
        <v/>
      </c>
      <c r="J48" s="7">
        <f>D48*2*1.5</f>
        <v/>
      </c>
      <c r="K48" s="7">
        <f>F48*4</f>
        <v/>
      </c>
      <c r="L48" s="7">
        <f>H48*17</f>
        <v/>
      </c>
      <c r="M48" s="7">
        <f>J48+K48+L48</f>
        <v/>
      </c>
      <c r="N48" s="7">
        <f>M48/8</f>
        <v/>
      </c>
      <c r="O48" s="6">
        <f>E48+G48+I48+Q48</f>
        <v/>
      </c>
      <c r="P48" t="n">
        <v>0</v>
      </c>
      <c r="Q48" s="6">
        <f>P48*$F$5</f>
        <v/>
      </c>
    </row>
    <row r="49">
      <c r="A49" t="n">
        <v>2028</v>
      </c>
      <c r="B49" t="inlineStr">
        <is>
          <t>Nov</t>
        </is>
      </c>
      <c r="C49">
        <f>$F$4</f>
        <v/>
      </c>
      <c r="D49">
        <f>SUMPRODUCT($C$15:C49,--(ROW($C$15:C49)&gt;=ROW(C49)-$F$2+1))</f>
        <v/>
      </c>
      <c r="E49" s="6">
        <f>D49*5000</f>
        <v/>
      </c>
      <c r="F49" t="n">
        <v>1</v>
      </c>
      <c r="G49" s="6">
        <f>F49*7500</f>
        <v/>
      </c>
      <c r="H49" t="n">
        <v>0</v>
      </c>
      <c r="I49" s="6">
        <f>H49*25000</f>
        <v/>
      </c>
      <c r="J49" s="7">
        <f>D49*2*1.5</f>
        <v/>
      </c>
      <c r="K49" s="7">
        <f>F49*4</f>
        <v/>
      </c>
      <c r="L49" s="7">
        <f>H49*17</f>
        <v/>
      </c>
      <c r="M49" s="7">
        <f>J49+K49+L49</f>
        <v/>
      </c>
      <c r="N49" s="7">
        <f>M49/8</f>
        <v/>
      </c>
      <c r="O49" s="6">
        <f>E49+G49+I49+Q49</f>
        <v/>
      </c>
      <c r="P49" t="n">
        <v>0</v>
      </c>
      <c r="Q49" s="6">
        <f>P49*$F$5</f>
        <v/>
      </c>
    </row>
    <row r="50">
      <c r="A50" t="n">
        <v>2028</v>
      </c>
      <c r="B50" t="inlineStr">
        <is>
          <t>Dec</t>
        </is>
      </c>
      <c r="C50">
        <f>$F$4</f>
        <v/>
      </c>
      <c r="D50">
        <f>SUMPRODUCT($C$15:C50,--(ROW($C$15:C50)&gt;=ROW(C50)-$F$2+1))</f>
        <v/>
      </c>
      <c r="E50" s="6">
        <f>D50*5000</f>
        <v/>
      </c>
      <c r="F50" t="n">
        <v>2</v>
      </c>
      <c r="G50" s="6">
        <f>F50*7500</f>
        <v/>
      </c>
      <c r="H50" t="n">
        <v>0</v>
      </c>
      <c r="I50" s="6">
        <f>H50*25000</f>
        <v/>
      </c>
      <c r="J50" s="7">
        <f>D50*2*1.5</f>
        <v/>
      </c>
      <c r="K50" s="7">
        <f>F50*4</f>
        <v/>
      </c>
      <c r="L50" s="7">
        <f>H50*17</f>
        <v/>
      </c>
      <c r="M50" s="7">
        <f>J50+K50+L50</f>
        <v/>
      </c>
      <c r="N50" s="7">
        <f>M50/8</f>
        <v/>
      </c>
      <c r="O50" s="6">
        <f>E50+G50+I50+Q50</f>
        <v/>
      </c>
      <c r="P50" t="n">
        <v>0</v>
      </c>
      <c r="Q50" s="6">
        <f>P50*$F$5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2025-11-19T05:05:32Z</dcterms:created>
  <dcterms:modified xsi:type="dcterms:W3CDTF">2025-11-19T05:05:32Z</dcterms:modified>
</cp:coreProperties>
</file>